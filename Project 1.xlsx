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hidePivotFieldList="1"/>
  <mc:AlternateContent xmlns:mc="http://schemas.openxmlformats.org/markup-compatibility/2006">
    <mc:Choice Requires="x15">
      <x15ac:absPath xmlns:x15ac="http://schemas.microsoft.com/office/spreadsheetml/2010/11/ac" url="E:\Esso\Excel course\Project 1\"/>
    </mc:Choice>
  </mc:AlternateContent>
  <xr:revisionPtr revIDLastSave="0" documentId="13_ncr:1_{653E526E-E8ED-4321-9473-F5363B294745}" xr6:coauthVersionLast="47" xr6:coauthVersionMax="47" xr10:uidLastSave="{00000000-0000-0000-0000-000000000000}"/>
  <bookViews>
    <workbookView xWindow="-120" yWindow="-120" windowWidth="20730" windowHeight="11160" firstSheet="2" activeTab="4" xr2:uid="{00000000-000D-0000-FFFF-FFFF00000000}"/>
  </bookViews>
  <sheets>
    <sheet name="Main" sheetId="2" r:id="rId1"/>
    <sheet name="Sales Anlysis by seller" sheetId="6" r:id="rId2"/>
    <sheet name="Sales Anlysis by months" sheetId="7" r:id="rId3"/>
    <sheet name="Sales Anlysis by category" sheetId="5" r:id="rId4"/>
    <sheet name="Dashbord" sheetId="8" r:id="rId5"/>
    <sheet name="Sales Anlysis by product" sheetId="3" r:id="rId6"/>
  </sheets>
  <definedNames>
    <definedName name="_xlcn.WorksheetConnection_Project1.xlsxTable11" hidden="1">Table1[]</definedName>
    <definedName name="Slicer_Customer">#N/A</definedName>
    <definedName name="Slicer_Total">#N/A</definedName>
  </definedNames>
  <calcPr calcId="181029"/>
  <pivotCaches>
    <pivotCache cacheId="49" r:id="rId7"/>
    <pivotCache cacheId="51" r:id="rId8"/>
    <pivotCache cacheId="53" r:id="rId9"/>
    <pivotCache cacheId="56" r:id="rId10"/>
  </pivotCaches>
  <extLst>
    <ext xmlns:x14="http://schemas.microsoft.com/office/spreadsheetml/2009/9/main" uri="{876F7934-8845-4945-9796-88D515C7AA90}">
      <x14:pivotCaches>
        <pivotCache cacheId="8"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Project 1.xlsx!Table1"/>
        </x15:modelTables>
        <x15:extLst>
          <ext xmlns:x16="http://schemas.microsoft.com/office/spreadsheetml/2014/11/main" uri="{9835A34E-60A6-4A7C-AAB8-D5F71C897F49}">
            <x16:modelTimeGroupings>
              <x16:modelTimeGrouping tableName="Table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alcChain.xml><?xml version="1.0" encoding="utf-8"?>
<calcChain xmlns="http://schemas.openxmlformats.org/spreadsheetml/2006/main">
  <c r="P4" i="2" l="1"/>
  <c r="P5" i="2"/>
  <c r="P6" i="2"/>
  <c r="P7" i="2"/>
  <c r="P8" i="2"/>
  <c r="P9" i="2"/>
  <c r="P10" i="2"/>
  <c r="P11" i="2"/>
  <c r="P12" i="2"/>
  <c r="P13" i="2"/>
  <c r="P14" i="2"/>
  <c r="P15" i="2"/>
  <c r="P16" i="2"/>
  <c r="P17" i="2"/>
  <c r="P18" i="2"/>
  <c r="O4" i="2"/>
  <c r="O5" i="2"/>
  <c r="O6" i="2"/>
  <c r="O7" i="2"/>
  <c r="O8" i="2"/>
  <c r="O9" i="2"/>
  <c r="O10" i="2"/>
  <c r="O11" i="2"/>
  <c r="O12" i="2"/>
  <c r="O13" i="2"/>
  <c r="O14" i="2"/>
  <c r="O15" i="2"/>
  <c r="O16" i="2"/>
  <c r="O17" i="2"/>
  <c r="O18" i="2"/>
  <c r="N4" i="2"/>
  <c r="N5" i="2"/>
  <c r="N6" i="2"/>
  <c r="N7" i="2"/>
  <c r="N8" i="2"/>
  <c r="N9" i="2"/>
  <c r="N10" i="2"/>
  <c r="N11" i="2"/>
  <c r="N12" i="2"/>
  <c r="N13" i="2"/>
  <c r="N14" i="2"/>
  <c r="N15" i="2"/>
  <c r="N16" i="2"/>
  <c r="N17" i="2"/>
  <c r="N18" i="2"/>
  <c r="M4" i="2"/>
  <c r="M5" i="2"/>
  <c r="M6" i="2"/>
  <c r="M7" i="2"/>
  <c r="M8" i="2"/>
  <c r="M9" i="2"/>
  <c r="M10" i="2"/>
  <c r="M11" i="2"/>
  <c r="M12" i="2"/>
  <c r="M13" i="2"/>
  <c r="M14" i="2"/>
  <c r="M15" i="2"/>
  <c r="M16" i="2"/>
  <c r="M17" i="2"/>
  <c r="M1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3AD053-7888-466B-B7EA-EAC2D046278C}"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3D904C3-5770-4B17-B2D1-DB4F449E94C2}" name="WorksheetConnection_Project 1.xlsx!Table1" type="102" refreshedVersion="7" minRefreshableVersion="5">
    <extLst>
      <ext xmlns:x15="http://schemas.microsoft.com/office/spreadsheetml/2010/11/main" uri="{DE250136-89BD-433C-8126-D09CA5730AF9}">
        <x15:connection id="Table1" autoDelete="1">
          <x15:rangePr sourceName="_xlcn.WorksheetConnection_Project1.xlsxTable11"/>
        </x15:connection>
      </ext>
    </extLst>
  </connection>
</connections>
</file>

<file path=xl/sharedStrings.xml><?xml version="1.0" encoding="utf-8"?>
<sst xmlns="http://schemas.openxmlformats.org/spreadsheetml/2006/main" count="148" uniqueCount="79">
  <si>
    <t>Order ID</t>
  </si>
  <si>
    <t>Customer</t>
  </si>
  <si>
    <t>Region</t>
  </si>
  <si>
    <t>Product</t>
  </si>
  <si>
    <t>Category</t>
  </si>
  <si>
    <t>Quantity</t>
  </si>
  <si>
    <t>Unit Price</t>
  </si>
  <si>
    <t>Total</t>
  </si>
  <si>
    <t>Order Date</t>
  </si>
  <si>
    <t>Sales Rep</t>
  </si>
  <si>
    <t>Rose</t>
  </si>
  <si>
    <t>ORD0001</t>
  </si>
  <si>
    <t>David George</t>
  </si>
  <si>
    <t>Giza</t>
  </si>
  <si>
    <t>Scarf</t>
  </si>
  <si>
    <t>Accessories</t>
  </si>
  <si>
    <t>Mohamed</t>
  </si>
  <si>
    <t>ORD0002</t>
  </si>
  <si>
    <t>Jessica Pierce</t>
  </si>
  <si>
    <t>Cairo</t>
  </si>
  <si>
    <t>Sneakers</t>
  </si>
  <si>
    <t>Footwear</t>
  </si>
  <si>
    <t>Ali</t>
  </si>
  <si>
    <t>ORD0003</t>
  </si>
  <si>
    <t>Michelle Ferguson</t>
  </si>
  <si>
    <t>Youssef</t>
  </si>
  <si>
    <t>ORD0004</t>
  </si>
  <si>
    <t>Brady Miles</t>
  </si>
  <si>
    <t>Mansoura</t>
  </si>
  <si>
    <t>ORD0005</t>
  </si>
  <si>
    <t>Mrs. Samantha Newton</t>
  </si>
  <si>
    <t>Alexandria</t>
  </si>
  <si>
    <t>ORD0006</t>
  </si>
  <si>
    <t>Michael Allen</t>
  </si>
  <si>
    <t>Jacket</t>
  </si>
  <si>
    <t>Clothing</t>
  </si>
  <si>
    <t>ORD0007</t>
  </si>
  <si>
    <t>Manuel Guerra</t>
  </si>
  <si>
    <t>Dress</t>
  </si>
  <si>
    <t>ORD0008</t>
  </si>
  <si>
    <t>Misty Huber</t>
  </si>
  <si>
    <t>Sara</t>
  </si>
  <si>
    <t>ORD0009</t>
  </si>
  <si>
    <t>Kimberly Jones</t>
  </si>
  <si>
    <t>Hat</t>
  </si>
  <si>
    <t>Dina</t>
  </si>
  <si>
    <t>ORD0010</t>
  </si>
  <si>
    <t>Cole Cline</t>
  </si>
  <si>
    <t>ORD0011</t>
  </si>
  <si>
    <t>ORD0012</t>
  </si>
  <si>
    <t>ORD0013</t>
  </si>
  <si>
    <t>ORD0014</t>
  </si>
  <si>
    <t>ORD0015</t>
  </si>
  <si>
    <t>Jack Dosen</t>
  </si>
  <si>
    <t>Halk</t>
  </si>
  <si>
    <t>Tony Starck</t>
  </si>
  <si>
    <t>Paper starck</t>
  </si>
  <si>
    <t>Customer Information</t>
  </si>
  <si>
    <t>Total2</t>
  </si>
  <si>
    <t xml:space="preserve">Month </t>
  </si>
  <si>
    <t>Year</t>
  </si>
  <si>
    <t>Target</t>
  </si>
  <si>
    <t>Row Labels</t>
  </si>
  <si>
    <t>Grand Total</t>
  </si>
  <si>
    <t>Sum of Quantity</t>
  </si>
  <si>
    <t>Sum of Total</t>
  </si>
  <si>
    <t>2025</t>
  </si>
  <si>
    <t>Qtr2</t>
  </si>
  <si>
    <t>May</t>
  </si>
  <si>
    <t>Jun</t>
  </si>
  <si>
    <t>Qtr3</t>
  </si>
  <si>
    <t>Jul</t>
  </si>
  <si>
    <t>Aug</t>
  </si>
  <si>
    <t>Sep</t>
  </si>
  <si>
    <t>Qtr4</t>
  </si>
  <si>
    <t>2026</t>
  </si>
  <si>
    <t>Qtr1</t>
  </si>
  <si>
    <t>Apr</t>
  </si>
  <si>
    <t>Fashion Sales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</si>
</sst>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
    <numFmt numFmtId="166" formatCode="_([$EGP]\ * #,##0_);_([$EGP]\ * \(#,##0\);_([$EGP]\ * &quot;-&quot;?_);_(@_)"/>
    <numFmt numFmtId="167" formatCode="_([$EGP]\ * #,##0_);_([$EGP]\ * \(#,##0\);_([$EGP]\ * &quot;-&quot;??_);_(@_)"/>
  </numFmts>
  <fonts count="6" x14ac:knownFonts="1">
    <font>
      <sz val="11"/>
      <color theme="1"/>
      <name val="Calibri"/>
      <family val="2"/>
      <scheme val="minor"/>
    </font>
    <font>
      <b/>
      <sz val="11"/>
      <color theme="1"/>
      <name val="Calibri"/>
      <family val="2"/>
      <scheme val="minor"/>
    </font>
    <font>
      <sz val="8"/>
      <name val="Calibri"/>
      <family val="2"/>
      <scheme val="minor"/>
    </font>
    <font>
      <b/>
      <sz val="18"/>
      <color theme="0"/>
      <name val="Calibri"/>
      <family val="2"/>
      <scheme val="minor"/>
    </font>
    <font>
      <sz val="11"/>
      <color rgb="FF000000"/>
      <name val="Calibri"/>
      <family val="2"/>
    </font>
    <font>
      <b/>
      <sz val="24"/>
      <color theme="1"/>
      <name val="Calibri"/>
      <family val="2"/>
      <scheme val="minor"/>
    </font>
  </fonts>
  <fills count="4">
    <fill>
      <patternFill patternType="none"/>
    </fill>
    <fill>
      <patternFill patternType="gray125"/>
    </fill>
    <fill>
      <patternFill patternType="solid">
        <fgColor theme="9"/>
        <bgColor theme="9"/>
      </patternFill>
    </fill>
    <fill>
      <patternFill patternType="solid">
        <fgColor theme="0"/>
        <bgColor indexed="64"/>
      </patternFill>
    </fill>
  </fills>
  <borders count="2">
    <border>
      <left/>
      <right/>
      <top/>
      <bottom/>
      <diagonal/>
    </border>
    <border>
      <left/>
      <right/>
      <top/>
      <bottom style="medium">
        <color indexed="64"/>
      </bottom>
      <diagonal/>
    </border>
  </borders>
  <cellStyleXfs count="1">
    <xf numFmtId="0" fontId="0" fillId="0" borderId="0"/>
  </cellStyleXfs>
  <cellXfs count="15">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65" fontId="0" fillId="0" borderId="0" xfId="0" applyNumberFormat="1" applyAlignment="1">
      <alignment vertical="center" wrapText="1"/>
    </xf>
    <xf numFmtId="164" fontId="0" fillId="0" borderId="0" xfId="0" applyNumberFormat="1" applyAlignment="1">
      <alignment vertical="center" wrapText="1"/>
    </xf>
    <xf numFmtId="0" fontId="0" fillId="0" borderId="0" xfId="0" pivotButton="1"/>
    <xf numFmtId="0" fontId="0" fillId="0" borderId="0" xfId="0" applyAlignment="1">
      <alignment horizontal="right"/>
    </xf>
    <xf numFmtId="0" fontId="0" fillId="0" borderId="0" xfId="0" applyNumberFormat="1"/>
    <xf numFmtId="166" fontId="0" fillId="0" borderId="0" xfId="0" applyNumberFormat="1" applyAlignment="1">
      <alignment vertical="center" wrapText="1"/>
    </xf>
    <xf numFmtId="167" fontId="0" fillId="0" borderId="0" xfId="0" applyNumberFormat="1" applyAlignment="1">
      <alignment vertical="center" wrapText="1"/>
    </xf>
    <xf numFmtId="1" fontId="0" fillId="0" borderId="0" xfId="0" applyNumberFormat="1"/>
    <xf numFmtId="0" fontId="0" fillId="0" borderId="0" xfId="0" applyAlignment="1">
      <alignment horizontal="right" indent="1"/>
    </xf>
    <xf numFmtId="0" fontId="0" fillId="0" borderId="0" xfId="0" applyAlignment="1">
      <alignment horizontal="right" indent="2"/>
    </xf>
    <xf numFmtId="0" fontId="3" fillId="2" borderId="0" xfId="0" applyFont="1" applyFill="1" applyBorder="1" applyAlignment="1">
      <alignment horizontal="center" vertical="center" wrapText="1"/>
    </xf>
    <xf numFmtId="0" fontId="5" fillId="3" borderId="1" xfId="0" applyFont="1" applyFill="1" applyBorder="1" applyAlignment="1">
      <alignment horizontal="center"/>
    </xf>
  </cellXfs>
  <cellStyles count="1">
    <cellStyle name="Normal" xfId="0" builtinId="0"/>
  </cellStyles>
  <dxfs count="27">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ill>
        <patternFill>
          <bgColor rgb="FFFFFF00"/>
        </patternFill>
      </fill>
    </dxf>
    <dxf>
      <fill>
        <patternFill>
          <bgColor rgb="FFFF0000"/>
        </patternFill>
      </fill>
    </dxf>
    <dxf>
      <fill>
        <patternFill>
          <bgColor rgb="FF00B050"/>
        </patternFill>
      </fill>
    </dxf>
    <dxf>
      <numFmt numFmtId="165" formatCode="0.0"/>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167" formatCode="_([$EGP]\ * #,##0_);_([$EGP]\ * \(#,##0\);_([$EGP]\ * &quot;-&quot;??_);_(@_)"/>
      <alignment horizontal="general" vertical="center" textRotation="0" wrapText="1" indent="0" justifyLastLine="0" shrinkToFit="0" readingOrder="0"/>
    </dxf>
    <dxf>
      <alignment horizontal="general" vertical="center" textRotation="0" wrapText="1" indent="0" justifyLastLine="0" shrinkToFit="0" readingOrder="0"/>
    </dxf>
    <dxf>
      <numFmt numFmtId="164" formatCode="yyyy\-mm\-dd;@"/>
      <alignment horizontal="general" vertical="center" textRotation="0" wrapText="1" indent="0" justifyLastLine="0" shrinkToFit="0" readingOrder="0"/>
    </dxf>
    <dxf>
      <numFmt numFmtId="166" formatCode="_([$EGP]\ * #,##0_);_([$EGP]\ * \(#,##0\);_([$EGP]\ * &quot;-&quot;?_);_(@_)"/>
      <alignment horizontal="general" vertical="center" textRotation="0" wrapText="1" indent="0" justifyLastLine="0" shrinkToFit="0" readingOrder="0"/>
    </dxf>
    <dxf>
      <numFmt numFmtId="165" formatCode="0.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2.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4.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1.xlsx]Sales Anlysis by seller!Sales Anlysis by seller</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Anlysis by seller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Anlysis by seller'!$C$3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Anlysis by seller'!$B$4:$B$9</c:f>
              <c:strCache>
                <c:ptCount val="5"/>
                <c:pt idx="0">
                  <c:v>Ali</c:v>
                </c:pt>
                <c:pt idx="1">
                  <c:v>Dina</c:v>
                </c:pt>
                <c:pt idx="2">
                  <c:v>Mohamed</c:v>
                </c:pt>
                <c:pt idx="3">
                  <c:v>Sara</c:v>
                </c:pt>
                <c:pt idx="4">
                  <c:v>Youssef</c:v>
                </c:pt>
              </c:strCache>
            </c:strRef>
          </c:cat>
          <c:val>
            <c:numRef>
              <c:f>'Sales Anlysis by seller'!$C$4:$C$9</c:f>
              <c:numCache>
                <c:formatCode>0</c:formatCode>
                <c:ptCount val="5"/>
                <c:pt idx="0">
                  <c:v>3401.6322424242398</c:v>
                </c:pt>
                <c:pt idx="1">
                  <c:v>2703.84</c:v>
                </c:pt>
                <c:pt idx="2">
                  <c:v>7099.1836363636394</c:v>
                </c:pt>
                <c:pt idx="3">
                  <c:v>3251.7</c:v>
                </c:pt>
                <c:pt idx="4">
                  <c:v>10183.55321212122</c:v>
                </c:pt>
              </c:numCache>
            </c:numRef>
          </c:val>
          <c:extLst>
            <c:ext xmlns:c16="http://schemas.microsoft.com/office/drawing/2014/chart" uri="{C3380CC4-5D6E-409C-BE32-E72D297353CC}">
              <c16:uniqueId val="{00000000-A0CD-40C7-9400-1397A27C2877}"/>
            </c:ext>
          </c:extLst>
        </c:ser>
        <c:dLbls>
          <c:dLblPos val="inEnd"/>
          <c:showLegendKey val="0"/>
          <c:showVal val="1"/>
          <c:showCatName val="0"/>
          <c:showSerName val="0"/>
          <c:showPercent val="0"/>
          <c:showBubbleSize val="0"/>
        </c:dLbls>
        <c:gapWidth val="65"/>
        <c:axId val="305349872"/>
        <c:axId val="305350288"/>
      </c:barChart>
      <c:catAx>
        <c:axId val="3053498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05350288"/>
        <c:crosses val="autoZero"/>
        <c:auto val="1"/>
        <c:lblAlgn val="ctr"/>
        <c:lblOffset val="100"/>
        <c:noMultiLvlLbl val="0"/>
      </c:catAx>
      <c:valAx>
        <c:axId val="30535028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053498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1.xlsx]Sales Anlysis by months!Sales Anlysis by month</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Anlysis by months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Anlysis by months'!$C$2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'Sales Anlysis by months'!$B$3:$B$20</c:f>
              <c:multiLvlStrCache>
                <c:ptCount val="11"/>
                <c:lvl>
                  <c:pt idx="0">
                    <c:v>May</c:v>
                  </c:pt>
                  <c:pt idx="1">
                    <c:v>Jun</c:v>
                  </c:pt>
                  <c:pt idx="2">
                    <c:v>Jul</c:v>
                  </c:pt>
                  <c:pt idx="3">
                    <c:v>Aug</c:v>
                  </c:pt>
                  <c:pt idx="4">
                    <c:v>Sep</c:v>
                  </c:pt>
                  <c:pt idx="7">
                    <c:v>Apr</c:v>
                  </c:pt>
                  <c:pt idx="8">
                    <c:v>May</c:v>
                  </c:pt>
                  <c:pt idx="9">
                    <c:v>Jun</c:v>
                  </c:pt>
                  <c:pt idx="10">
                    <c:v>Jul</c:v>
                  </c:pt>
                </c:lvl>
                <c:lvl>
                  <c:pt idx="0">
                    <c:v>Qtr2</c:v>
                  </c:pt>
                  <c:pt idx="2">
                    <c:v>Qtr3</c:v>
                  </c:pt>
                  <c:pt idx="5">
                    <c:v>Qtr4</c:v>
                  </c:pt>
                  <c:pt idx="6">
                    <c:v>Qtr1</c:v>
                  </c:pt>
                  <c:pt idx="7">
                    <c:v>Qtr2</c:v>
                  </c:pt>
                  <c:pt idx="10">
                    <c:v>Qtr3</c:v>
                  </c:pt>
                </c:lvl>
                <c:lvl>
                  <c:pt idx="0">
                    <c:v>2025</c:v>
                  </c:pt>
                  <c:pt idx="6">
                    <c:v>2026</c:v>
                  </c:pt>
                </c:lvl>
              </c:multiLvlStrCache>
            </c:multiLvlStrRef>
          </c:cat>
          <c:val>
            <c:numRef>
              <c:f>'Sales Anlysis by months'!$C$3:$C$20</c:f>
              <c:numCache>
                <c:formatCode>General</c:formatCode>
                <c:ptCount val="11"/>
                <c:pt idx="0">
                  <c:v>1121.94</c:v>
                </c:pt>
                <c:pt idx="1">
                  <c:v>288.18</c:v>
                </c:pt>
                <c:pt idx="2">
                  <c:v>1713.04</c:v>
                </c:pt>
                <c:pt idx="3">
                  <c:v>2373.66</c:v>
                </c:pt>
                <c:pt idx="4">
                  <c:v>1037.96</c:v>
                </c:pt>
                <c:pt idx="5">
                  <c:v>4343.92</c:v>
                </c:pt>
                <c:pt idx="6">
                  <c:v>6091.8226666666706</c:v>
                </c:pt>
                <c:pt idx="7">
                  <c:v>2242.43224242424</c:v>
                </c:pt>
                <c:pt idx="8">
                  <c:v>2359.04181818182</c:v>
                </c:pt>
                <c:pt idx="9">
                  <c:v>2475.6513939393999</c:v>
                </c:pt>
                <c:pt idx="10">
                  <c:v>2592.2609696969698</c:v>
                </c:pt>
              </c:numCache>
            </c:numRef>
          </c:val>
          <c:smooth val="0"/>
          <c:extLst>
            <c:ext xmlns:c16="http://schemas.microsoft.com/office/drawing/2014/chart" uri="{C3380CC4-5D6E-409C-BE32-E72D297353CC}">
              <c16:uniqueId val="{00000000-90A6-4D85-809F-73A790B6746E}"/>
            </c:ext>
          </c:extLst>
        </c:ser>
        <c:dLbls>
          <c:showLegendKey val="0"/>
          <c:showVal val="0"/>
          <c:showCatName val="0"/>
          <c:showSerName val="0"/>
          <c:showPercent val="0"/>
          <c:showBubbleSize val="0"/>
        </c:dLbls>
        <c:marker val="1"/>
        <c:smooth val="0"/>
        <c:axId val="981489312"/>
        <c:axId val="981488896"/>
      </c:lineChart>
      <c:catAx>
        <c:axId val="98148931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1488896"/>
        <c:crosses val="autoZero"/>
        <c:auto val="1"/>
        <c:lblAlgn val="ctr"/>
        <c:lblOffset val="100"/>
        <c:noMultiLvlLbl val="0"/>
      </c:catAx>
      <c:valAx>
        <c:axId val="9814888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148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1.xlsx]Sales Anlysis by category!Sales Anlysis by category</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Anlysis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Anlysis by category'!$C$2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Anlysis by category'!$B$3:$B$6</c:f>
              <c:strCache>
                <c:ptCount val="3"/>
                <c:pt idx="0">
                  <c:v>Accessories</c:v>
                </c:pt>
                <c:pt idx="1">
                  <c:v>Clothing</c:v>
                </c:pt>
                <c:pt idx="2">
                  <c:v>Footwear</c:v>
                </c:pt>
              </c:strCache>
            </c:strRef>
          </c:cat>
          <c:val>
            <c:numRef>
              <c:f>'Sales Anlysis by category'!$C$3:$C$6</c:f>
              <c:numCache>
                <c:formatCode>0</c:formatCode>
                <c:ptCount val="3"/>
                <c:pt idx="0">
                  <c:v>11285.844484848491</c:v>
                </c:pt>
                <c:pt idx="1">
                  <c:v>4343.92</c:v>
                </c:pt>
                <c:pt idx="2">
                  <c:v>11010.14460606061</c:v>
                </c:pt>
              </c:numCache>
            </c:numRef>
          </c:val>
          <c:extLst>
            <c:ext xmlns:c16="http://schemas.microsoft.com/office/drawing/2014/chart" uri="{C3380CC4-5D6E-409C-BE32-E72D297353CC}">
              <c16:uniqueId val="{00000003-36D8-4F6D-93D5-76372514CFB3}"/>
            </c:ext>
          </c:extLst>
        </c:ser>
        <c:dLbls>
          <c:dLblPos val="inEnd"/>
          <c:showLegendKey val="0"/>
          <c:showVal val="1"/>
          <c:showCatName val="0"/>
          <c:showSerName val="0"/>
          <c:showPercent val="0"/>
          <c:showBubbleSize val="0"/>
        </c:dLbls>
        <c:gapWidth val="65"/>
        <c:axId val="983208160"/>
        <c:axId val="983208576"/>
      </c:barChart>
      <c:catAx>
        <c:axId val="9832081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83208576"/>
        <c:crosses val="autoZero"/>
        <c:auto val="1"/>
        <c:lblAlgn val="ctr"/>
        <c:lblOffset val="100"/>
        <c:noMultiLvlLbl val="0"/>
      </c:catAx>
      <c:valAx>
        <c:axId val="9832085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983208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1.xlsx]Sales Anlysis by product!Sales Anlysis by product</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Anlysis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'Sales Anlysis by product'!$C$3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600-4B7F-BDBA-C4C8DF6209B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600-4B7F-BDBA-C4C8DF6209B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600-4B7F-BDBA-C4C8DF6209B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600-4B7F-BDBA-C4C8DF6209B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600-4B7F-BDBA-C4C8DF6209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Anlysis by product'!$B$4:$B$9</c:f>
              <c:strCache>
                <c:ptCount val="5"/>
                <c:pt idx="0">
                  <c:v>Dress</c:v>
                </c:pt>
                <c:pt idx="1">
                  <c:v>Hat</c:v>
                </c:pt>
                <c:pt idx="2">
                  <c:v>Jacket</c:v>
                </c:pt>
                <c:pt idx="3">
                  <c:v>Scarf</c:v>
                </c:pt>
                <c:pt idx="4">
                  <c:v>Sneakers</c:v>
                </c:pt>
              </c:strCache>
            </c:strRef>
          </c:cat>
          <c:val>
            <c:numRef>
              <c:f>'Sales Anlysis by product'!$C$4:$C$9</c:f>
              <c:numCache>
                <c:formatCode>General</c:formatCode>
                <c:ptCount val="5"/>
                <c:pt idx="0">
                  <c:v>14</c:v>
                </c:pt>
                <c:pt idx="1">
                  <c:v>8</c:v>
                </c:pt>
                <c:pt idx="2">
                  <c:v>9</c:v>
                </c:pt>
                <c:pt idx="3">
                  <c:v>39</c:v>
                </c:pt>
                <c:pt idx="4">
                  <c:v>51</c:v>
                </c:pt>
              </c:numCache>
            </c:numRef>
          </c:val>
          <c:extLst>
            <c:ext xmlns:c16="http://schemas.microsoft.com/office/drawing/2014/chart" uri="{C3380CC4-5D6E-409C-BE32-E72D297353CC}">
              <c16:uniqueId val="{0000000A-7600-4B7F-BDBA-C4C8DF6209B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1.xlsx]Sales Anlysis by category!Sales Anlysis by category</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Anlysis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Anlysis by category'!$C$2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Anlysis by category'!$B$3:$B$6</c:f>
              <c:strCache>
                <c:ptCount val="3"/>
                <c:pt idx="0">
                  <c:v>Accessories</c:v>
                </c:pt>
                <c:pt idx="1">
                  <c:v>Clothing</c:v>
                </c:pt>
                <c:pt idx="2">
                  <c:v>Footwear</c:v>
                </c:pt>
              </c:strCache>
            </c:strRef>
          </c:cat>
          <c:val>
            <c:numRef>
              <c:f>'Sales Anlysis by category'!$C$3:$C$6</c:f>
              <c:numCache>
                <c:formatCode>0</c:formatCode>
                <c:ptCount val="3"/>
                <c:pt idx="0">
                  <c:v>11285.844484848491</c:v>
                </c:pt>
                <c:pt idx="1">
                  <c:v>4343.92</c:v>
                </c:pt>
                <c:pt idx="2">
                  <c:v>11010.14460606061</c:v>
                </c:pt>
              </c:numCache>
            </c:numRef>
          </c:val>
          <c:extLst>
            <c:ext xmlns:c16="http://schemas.microsoft.com/office/drawing/2014/chart" uri="{C3380CC4-5D6E-409C-BE32-E72D297353CC}">
              <c16:uniqueId val="{00000000-9719-4BD9-95D1-52E1E7D35239}"/>
            </c:ext>
          </c:extLst>
        </c:ser>
        <c:dLbls>
          <c:dLblPos val="inEnd"/>
          <c:showLegendKey val="0"/>
          <c:showVal val="1"/>
          <c:showCatName val="0"/>
          <c:showSerName val="0"/>
          <c:showPercent val="0"/>
          <c:showBubbleSize val="0"/>
        </c:dLbls>
        <c:gapWidth val="100"/>
        <c:overlap val="-24"/>
        <c:axId val="983208160"/>
        <c:axId val="983208576"/>
      </c:barChart>
      <c:catAx>
        <c:axId val="9832081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3208576"/>
        <c:crosses val="autoZero"/>
        <c:auto val="1"/>
        <c:lblAlgn val="ctr"/>
        <c:lblOffset val="100"/>
        <c:noMultiLvlLbl val="0"/>
      </c:catAx>
      <c:valAx>
        <c:axId val="98320857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3208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1.xlsx]Sales Anlysis by seller!Sales Anlysis by seller</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Anlysis by seller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Anlysis by seller'!$C$3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Anlysis by seller'!$B$4:$B$9</c:f>
              <c:strCache>
                <c:ptCount val="5"/>
                <c:pt idx="0">
                  <c:v>Ali</c:v>
                </c:pt>
                <c:pt idx="1">
                  <c:v>Dina</c:v>
                </c:pt>
                <c:pt idx="2">
                  <c:v>Mohamed</c:v>
                </c:pt>
                <c:pt idx="3">
                  <c:v>Sara</c:v>
                </c:pt>
                <c:pt idx="4">
                  <c:v>Youssef</c:v>
                </c:pt>
              </c:strCache>
            </c:strRef>
          </c:cat>
          <c:val>
            <c:numRef>
              <c:f>'Sales Anlysis by seller'!$C$4:$C$9</c:f>
              <c:numCache>
                <c:formatCode>0</c:formatCode>
                <c:ptCount val="5"/>
                <c:pt idx="0">
                  <c:v>3401.6322424242398</c:v>
                </c:pt>
                <c:pt idx="1">
                  <c:v>2703.84</c:v>
                </c:pt>
                <c:pt idx="2">
                  <c:v>7099.1836363636394</c:v>
                </c:pt>
                <c:pt idx="3">
                  <c:v>3251.7</c:v>
                </c:pt>
                <c:pt idx="4">
                  <c:v>10183.55321212122</c:v>
                </c:pt>
              </c:numCache>
            </c:numRef>
          </c:val>
          <c:extLst>
            <c:ext xmlns:c16="http://schemas.microsoft.com/office/drawing/2014/chart" uri="{C3380CC4-5D6E-409C-BE32-E72D297353CC}">
              <c16:uniqueId val="{00000000-E346-428A-A167-3132A3B1CB52}"/>
            </c:ext>
          </c:extLst>
        </c:ser>
        <c:dLbls>
          <c:dLblPos val="inEnd"/>
          <c:showLegendKey val="0"/>
          <c:showVal val="1"/>
          <c:showCatName val="0"/>
          <c:showSerName val="0"/>
          <c:showPercent val="0"/>
          <c:showBubbleSize val="0"/>
        </c:dLbls>
        <c:gapWidth val="115"/>
        <c:overlap val="-20"/>
        <c:axId val="305349872"/>
        <c:axId val="305350288"/>
      </c:barChart>
      <c:catAx>
        <c:axId val="3053498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5350288"/>
        <c:crosses val="autoZero"/>
        <c:auto val="1"/>
        <c:lblAlgn val="ctr"/>
        <c:lblOffset val="100"/>
        <c:noMultiLvlLbl val="0"/>
      </c:catAx>
      <c:valAx>
        <c:axId val="305350288"/>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5349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1.xlsx]Sales Anlysis by months!Sales Anlysis by month</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Anlysis by months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Anlysis by months'!$C$2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'Sales Anlysis by months'!$B$3:$B$20</c:f>
              <c:multiLvlStrCache>
                <c:ptCount val="11"/>
                <c:lvl>
                  <c:pt idx="0">
                    <c:v>May</c:v>
                  </c:pt>
                  <c:pt idx="1">
                    <c:v>Jun</c:v>
                  </c:pt>
                  <c:pt idx="2">
                    <c:v>Jul</c:v>
                  </c:pt>
                  <c:pt idx="3">
                    <c:v>Aug</c:v>
                  </c:pt>
                  <c:pt idx="4">
                    <c:v>Sep</c:v>
                  </c:pt>
                  <c:pt idx="7">
                    <c:v>Apr</c:v>
                  </c:pt>
                  <c:pt idx="8">
                    <c:v>May</c:v>
                  </c:pt>
                  <c:pt idx="9">
                    <c:v>Jun</c:v>
                  </c:pt>
                  <c:pt idx="10">
                    <c:v>Jul</c:v>
                  </c:pt>
                </c:lvl>
                <c:lvl>
                  <c:pt idx="0">
                    <c:v>Qtr2</c:v>
                  </c:pt>
                  <c:pt idx="2">
                    <c:v>Qtr3</c:v>
                  </c:pt>
                  <c:pt idx="5">
                    <c:v>Qtr4</c:v>
                  </c:pt>
                  <c:pt idx="6">
                    <c:v>Qtr1</c:v>
                  </c:pt>
                  <c:pt idx="7">
                    <c:v>Qtr2</c:v>
                  </c:pt>
                  <c:pt idx="10">
                    <c:v>Qtr3</c:v>
                  </c:pt>
                </c:lvl>
                <c:lvl>
                  <c:pt idx="0">
                    <c:v>2025</c:v>
                  </c:pt>
                  <c:pt idx="6">
                    <c:v>2026</c:v>
                  </c:pt>
                </c:lvl>
              </c:multiLvlStrCache>
            </c:multiLvlStrRef>
          </c:cat>
          <c:val>
            <c:numRef>
              <c:f>'Sales Anlysis by months'!$C$3:$C$20</c:f>
              <c:numCache>
                <c:formatCode>General</c:formatCode>
                <c:ptCount val="11"/>
                <c:pt idx="0">
                  <c:v>1121.94</c:v>
                </c:pt>
                <c:pt idx="1">
                  <c:v>288.18</c:v>
                </c:pt>
                <c:pt idx="2">
                  <c:v>1713.04</c:v>
                </c:pt>
                <c:pt idx="3">
                  <c:v>2373.66</c:v>
                </c:pt>
                <c:pt idx="4">
                  <c:v>1037.96</c:v>
                </c:pt>
                <c:pt idx="5">
                  <c:v>4343.92</c:v>
                </c:pt>
                <c:pt idx="6">
                  <c:v>6091.8226666666706</c:v>
                </c:pt>
                <c:pt idx="7">
                  <c:v>2242.43224242424</c:v>
                </c:pt>
                <c:pt idx="8">
                  <c:v>2359.04181818182</c:v>
                </c:pt>
                <c:pt idx="9">
                  <c:v>2475.6513939393999</c:v>
                </c:pt>
                <c:pt idx="10">
                  <c:v>2592.2609696969698</c:v>
                </c:pt>
              </c:numCache>
            </c:numRef>
          </c:val>
          <c:smooth val="0"/>
          <c:extLst>
            <c:ext xmlns:c16="http://schemas.microsoft.com/office/drawing/2014/chart" uri="{C3380CC4-5D6E-409C-BE32-E72D297353CC}">
              <c16:uniqueId val="{00000000-E389-40A5-81A6-01EAC9F8D5D5}"/>
            </c:ext>
          </c:extLst>
        </c:ser>
        <c:dLbls>
          <c:showLegendKey val="0"/>
          <c:showVal val="0"/>
          <c:showCatName val="0"/>
          <c:showSerName val="0"/>
          <c:showPercent val="0"/>
          <c:showBubbleSize val="0"/>
        </c:dLbls>
        <c:marker val="1"/>
        <c:smooth val="0"/>
        <c:axId val="981489312"/>
        <c:axId val="981488896"/>
      </c:lineChart>
      <c:catAx>
        <c:axId val="98148931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1488896"/>
        <c:crosses val="autoZero"/>
        <c:auto val="1"/>
        <c:lblAlgn val="ctr"/>
        <c:lblOffset val="100"/>
        <c:noMultiLvlLbl val="0"/>
      </c:catAx>
      <c:valAx>
        <c:axId val="9814888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148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1.xlsx]Sales Anlysis by product!Sales Anlysis by product</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Anlysis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'Sales Anlysis by product'!$C$3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97E-4C5F-8443-96631A26A77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97E-4C5F-8443-96631A26A77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97E-4C5F-8443-96631A26A77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97E-4C5F-8443-96631A26A77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97E-4C5F-8443-96631A26A7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Anlysis by product'!$B$4:$B$9</c:f>
              <c:strCache>
                <c:ptCount val="5"/>
                <c:pt idx="0">
                  <c:v>Dress</c:v>
                </c:pt>
                <c:pt idx="1">
                  <c:v>Hat</c:v>
                </c:pt>
                <c:pt idx="2">
                  <c:v>Jacket</c:v>
                </c:pt>
                <c:pt idx="3">
                  <c:v>Scarf</c:v>
                </c:pt>
                <c:pt idx="4">
                  <c:v>Sneakers</c:v>
                </c:pt>
              </c:strCache>
            </c:strRef>
          </c:cat>
          <c:val>
            <c:numRef>
              <c:f>'Sales Anlysis by product'!$C$4:$C$9</c:f>
              <c:numCache>
                <c:formatCode>General</c:formatCode>
                <c:ptCount val="5"/>
                <c:pt idx="0">
                  <c:v>14</c:v>
                </c:pt>
                <c:pt idx="1">
                  <c:v>8</c:v>
                </c:pt>
                <c:pt idx="2">
                  <c:v>9</c:v>
                </c:pt>
                <c:pt idx="3">
                  <c:v>39</c:v>
                </c:pt>
                <c:pt idx="4">
                  <c:v>51</c:v>
                </c:pt>
              </c:numCache>
            </c:numRef>
          </c:val>
          <c:extLst>
            <c:ext xmlns:c16="http://schemas.microsoft.com/office/drawing/2014/chart" uri="{C3380CC4-5D6E-409C-BE32-E72D297353CC}">
              <c16:uniqueId val="{00000000-5B2E-4E7F-9441-391C42AF3FF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trlProps/ctrlProp1.xml><?xml version="1.0" encoding="utf-8"?>
<formControlPr xmlns="http://schemas.microsoft.com/office/spreadsheetml/2009/9/main" objectType="Button" lockText="1"/>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561975</xdr:colOff>
          <xdr:row>16</xdr:row>
          <xdr:rowOff>0</xdr:rowOff>
        </xdr:from>
        <xdr:to>
          <xdr:col>7</xdr:col>
          <xdr:colOff>1133475</xdr:colOff>
          <xdr:row>17</xdr:row>
          <xdr:rowOff>28575</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100" b="0" i="0" u="none" strike="noStrike" baseline="0">
                  <a:solidFill>
                    <a:srgbClr val="000000"/>
                  </a:solidFill>
                  <a:latin typeface="Calibri"/>
                  <a:cs typeface="Calibri"/>
                </a:rPr>
                <a:t>Button 1</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xdr:col>
      <xdr:colOff>295275</xdr:colOff>
      <xdr:row>5</xdr:row>
      <xdr:rowOff>166687</xdr:rowOff>
    </xdr:from>
    <xdr:to>
      <xdr:col>11</xdr:col>
      <xdr:colOff>600075</xdr:colOff>
      <xdr:row>20</xdr:row>
      <xdr:rowOff>52387</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523875</xdr:colOff>
      <xdr:row>5</xdr:row>
      <xdr:rowOff>166687</xdr:rowOff>
    </xdr:from>
    <xdr:to>
      <xdr:col>12</xdr:col>
      <xdr:colOff>219075</xdr:colOff>
      <xdr:row>20</xdr:row>
      <xdr:rowOff>52387</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38100</xdr:colOff>
      <xdr:row>6</xdr:row>
      <xdr:rowOff>90487</xdr:rowOff>
    </xdr:from>
    <xdr:to>
      <xdr:col>10</xdr:col>
      <xdr:colOff>342900</xdr:colOff>
      <xdr:row>20</xdr:row>
      <xdr:rowOff>166687</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494805</xdr:colOff>
      <xdr:row>16</xdr:row>
      <xdr:rowOff>76323</xdr:rowOff>
    </xdr:from>
    <xdr:to>
      <xdr:col>15</xdr:col>
      <xdr:colOff>309254</xdr:colOff>
      <xdr:row>30</xdr:row>
      <xdr:rowOff>86591</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16</xdr:row>
      <xdr:rowOff>56903</xdr:rowOff>
    </xdr:from>
    <xdr:to>
      <xdr:col>7</xdr:col>
      <xdr:colOff>519545</xdr:colOff>
      <xdr:row>30</xdr:row>
      <xdr:rowOff>98961</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259772</xdr:colOff>
      <xdr:row>16</xdr:row>
      <xdr:rowOff>69272</xdr:rowOff>
    </xdr:from>
    <xdr:to>
      <xdr:col>22</xdr:col>
      <xdr:colOff>598715</xdr:colOff>
      <xdr:row>30</xdr:row>
      <xdr:rowOff>98962</xdr:rowOff>
    </xdr:to>
    <xdr:graphicFrame macro="">
      <xdr:nvGraphicFramePr>
        <xdr:cNvPr id="4" name="Chart 3">
          <a:extLst>
            <a:ext uri="{FF2B5EF4-FFF2-40B4-BE49-F238E27FC236}">
              <a16:creationId xmlns:a16="http://schemas.microsoft.com/office/drawing/2014/main" id="{00000000-0008-0000-0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xdr:row>
      <xdr:rowOff>1</xdr:rowOff>
    </xdr:from>
    <xdr:to>
      <xdr:col>22</xdr:col>
      <xdr:colOff>593766</xdr:colOff>
      <xdr:row>16</xdr:row>
      <xdr:rowOff>76201</xdr:rowOff>
    </xdr:to>
    <xdr:graphicFrame macro="">
      <xdr:nvGraphicFramePr>
        <xdr:cNvPr id="5" name="Chart 4">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591540</xdr:colOff>
      <xdr:row>2</xdr:row>
      <xdr:rowOff>48615</xdr:rowOff>
    </xdr:from>
    <xdr:to>
      <xdr:col>25</xdr:col>
      <xdr:colOff>601931</xdr:colOff>
      <xdr:row>15</xdr:row>
      <xdr:rowOff>160565</xdr:rowOff>
    </xdr:to>
    <mc:AlternateContent xmlns:mc="http://schemas.openxmlformats.org/markup-compatibility/2006">
      <mc:Choice xmlns:a14="http://schemas.microsoft.com/office/drawing/2010/main" Requires="a14">
        <xdr:graphicFrame macro="">
          <xdr:nvGraphicFramePr>
            <xdr:cNvPr id="23" name="Customer">
              <a:extLst>
                <a:ext uri="{FF2B5EF4-FFF2-40B4-BE49-F238E27FC236}">
                  <a16:creationId xmlns:a16="http://schemas.microsoft.com/office/drawing/2014/main" id="{D0AD6F8A-48C2-4AC0-A8E1-C3418B95BB49}"/>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dr:sp macro="" textlink="">
          <xdr:nvSpPr>
            <xdr:cNvPr id="0" name=""/>
            <xdr:cNvSpPr>
              <a:spLocks noTextEdit="1"/>
            </xdr:cNvSpPr>
          </xdr:nvSpPr>
          <xdr:spPr>
            <a:xfrm>
              <a:off x="9915182842" y="72897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597724</xdr:colOff>
      <xdr:row>16</xdr:row>
      <xdr:rowOff>166131</xdr:rowOff>
    </xdr:from>
    <xdr:to>
      <xdr:col>26</xdr:col>
      <xdr:colOff>1979</xdr:colOff>
      <xdr:row>30</xdr:row>
      <xdr:rowOff>92528</xdr:rowOff>
    </xdr:to>
    <mc:AlternateContent xmlns:mc="http://schemas.openxmlformats.org/markup-compatibility/2006">
      <mc:Choice xmlns:a14="http://schemas.microsoft.com/office/drawing/2010/main" Requires="a14">
        <xdr:graphicFrame macro="">
          <xdr:nvGraphicFramePr>
            <xdr:cNvPr id="24" name="Total">
              <a:extLst>
                <a:ext uri="{FF2B5EF4-FFF2-40B4-BE49-F238E27FC236}">
                  <a16:creationId xmlns:a16="http://schemas.microsoft.com/office/drawing/2014/main" id="{E76D2DC7-3F3A-4880-AB1A-E24A20369FD0}"/>
                </a:ext>
              </a:extLst>
            </xdr:cNvPr>
            <xdr:cNvGraphicFramePr/>
          </xdr:nvGraphicFramePr>
          <xdr:xfrm>
            <a:off x="0" y="0"/>
            <a:ext cx="0" cy="0"/>
          </xdr:xfrm>
          <a:graphic>
            <a:graphicData uri="http://schemas.microsoft.com/office/drawing/2010/slicer">
              <sle:slicer xmlns:sle="http://schemas.microsoft.com/office/drawing/2010/slicer" name="Total"/>
            </a:graphicData>
          </a:graphic>
        </xdr:graphicFrame>
      </mc:Choice>
      <mc:Fallback>
        <xdr:sp macro="" textlink="">
          <xdr:nvSpPr>
            <xdr:cNvPr id="0" name=""/>
            <xdr:cNvSpPr>
              <a:spLocks noTextEdit="1"/>
            </xdr:cNvSpPr>
          </xdr:nvSpPr>
          <xdr:spPr>
            <a:xfrm>
              <a:off x="9915176658" y="344421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838200</xdr:colOff>
      <xdr:row>6</xdr:row>
      <xdr:rowOff>90487</xdr:rowOff>
    </xdr:from>
    <xdr:to>
      <xdr:col>10</xdr:col>
      <xdr:colOff>114300</xdr:colOff>
      <xdr:row>20</xdr:row>
      <xdr:rowOff>166687</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lzaghal" refreshedDate="45871.143708449075" backgroundQuery="1" createdVersion="7" refreshedVersion="7" minRefreshableVersion="3" recordCount="0" supportSubquery="1" supportAdvancedDrill="1" xr:uid="{09CD201E-B904-411F-9FC9-FC593550B88B}">
  <cacheSource type="external" connectionId="1"/>
  <cacheFields count="3">
    <cacheField name="[Table1].[Category].[Category]" caption="Category" numFmtId="0" hierarchy="4" level="1">
      <sharedItems count="3">
        <s v="Accessories"/>
        <s v="Clothing"/>
        <s v="Footwear"/>
      </sharedItems>
    </cacheField>
    <cacheField name="[Measures].[Sum of Total]" caption="Sum of Total" numFmtId="0" hierarchy="21" level="32767"/>
    <cacheField name="[Table1].[Customer].[Customer]" caption="Customer" numFmtId="0" hierarchy="1" level="1">
      <sharedItems containsSemiMixedTypes="0" containsNonDate="0" containsString="0"/>
    </cacheField>
  </cacheFields>
  <cacheHierarchies count="22">
    <cacheHierarchy uniqueName="[Table1].[Order ID]" caption="Order ID" attribute="1" defaultMemberUniqueName="[Table1].[Order ID].[All]" allUniqueName="[Table1].[Order ID].[All]" dimensionUniqueName="[Table1]" displayFolder="" count="2" memberValueDatatype="130" unbalanced="0"/>
    <cacheHierarchy uniqueName="[Table1].[Customer]" caption="Customer" attribute="1" defaultMemberUniqueName="[Table1].[Customer].[All]" allUniqueName="[Table1].[Customer].[All]" dimensionUniqueName="[Table1]" displayFolder="" count="2" memberValueDatatype="130" unbalanced="0">
      <fieldsUsage count="2">
        <fieldUsage x="-1"/>
        <fieldUsage x="2"/>
      </fieldsUsage>
    </cacheHierarchy>
    <cacheHierarchy uniqueName="[Table1].[Region]" caption="Region" attribute="1" defaultMemberUniqueName="[Table1].[Region].[All]" allUniqueName="[Table1].[Region].[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5" unbalanced="0"/>
    <cacheHierarchy uniqueName="[Table1].[Total]" caption="Total" attribute="1" defaultMemberUniqueName="[Table1].[Total].[All]" allUniqueName="[Table1].[Total].[All]" dimensionUniqueName="[Table1]" displayFolder="" count="2" memberValueDatatype="5" unbalanced="0"/>
    <cacheHierarchy uniqueName="[Table1].[Order Date]" caption="Order Date" attribute="1" time="1" defaultMemberUniqueName="[Table1].[Order Date].[All]" allUniqueName="[Table1].[Order Date].[All]" dimensionUniqueName="[Table1]" displayFolder="" count="2" memberValueDatatype="7" unbalanced="0"/>
    <cacheHierarchy uniqueName="[Table1].[Sales Rep]" caption="Sales Rep" attribute="1" defaultMemberUniqueName="[Table1].[Sales Rep].[All]" allUniqueName="[Table1].[Sales Rep].[All]" dimensionUniqueName="[Table1]" displayFolder="" count="2" memberValueDatatype="130" unbalanced="0"/>
    <cacheHierarchy uniqueName="[Table1].[Total2]" caption="Total2" attribute="1" defaultMemberUniqueName="[Table1].[Total2].[All]" allUniqueName="[Table1].[Total2].[All]" dimensionUniqueName="[Table1]" displayFolder="" count="2" memberValueDatatype="5" unbalanced="0"/>
    <cacheHierarchy uniqueName="[Table1].[Month]" caption="Month" attribute="1" defaultMemberUniqueName="[Table1].[Month].[All]" allUniqueName="[Table1].[Month].[All]" dimensionUniqueName="[Table1]" displayFolder="" count="2" memberValueDatatype="20" unbalanced="0"/>
    <cacheHierarchy uniqueName="[Table1].[Year]" caption="Year" attribute="1" defaultMemberUniqueName="[Table1].[Year].[All]" allUniqueName="[Table1].[Year].[All]" dimensionUniqueName="[Table1]" displayFolder="" count="2" memberValueDatatype="20" unbalanced="0"/>
    <cacheHierarchy uniqueName="[Table1].[Target]" caption="Target" attribute="1" defaultMemberUniqueName="[Table1].[Target].[All]" allUniqueName="[Table1].[Target].[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y uniqueName="[Measures].[Sum of Total]" caption="Sum of Total"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lzaghal" refreshedDate="45871.143709027776" backgroundQuery="1" createdVersion="7" refreshedVersion="7" minRefreshableVersion="3" recordCount="0" supportSubquery="1" supportAdvancedDrill="1" xr:uid="{BFA525EC-1F04-4BCF-92AE-E2F1315D5C75}">
  <cacheSource type="external" connectionId="1"/>
  <cacheFields count="3">
    <cacheField name="[Table1].[Product].[Product]" caption="Product" numFmtId="0" hierarchy="3" level="1">
      <sharedItems count="5">
        <s v="Dress"/>
        <s v="Hat"/>
        <s v="Jacket"/>
        <s v="Scarf"/>
        <s v="Sneakers"/>
      </sharedItems>
    </cacheField>
    <cacheField name="[Measures].[Sum of Quantity]" caption="Sum of Quantity" numFmtId="0" hierarchy="20" level="32767"/>
    <cacheField name="[Table1].[Customer].[Customer]" caption="Customer" numFmtId="0" hierarchy="1" level="1">
      <sharedItems containsSemiMixedTypes="0" containsNonDate="0" containsString="0"/>
    </cacheField>
  </cacheFields>
  <cacheHierarchies count="22">
    <cacheHierarchy uniqueName="[Table1].[Order ID]" caption="Order ID" attribute="1" defaultMemberUniqueName="[Table1].[Order ID].[All]" allUniqueName="[Table1].[Order ID].[All]" dimensionUniqueName="[Table1]" displayFolder="" count="0" memberValueDatatype="130" unbalanced="0"/>
    <cacheHierarchy uniqueName="[Table1].[Customer]" caption="Customer" attribute="1" defaultMemberUniqueName="[Table1].[Customer].[All]" allUniqueName="[Table1].[Customer].[All]" dimensionUniqueName="[Table1]" displayFolder="" count="2" memberValueDatatype="130" unbalanced="0">
      <fieldsUsage count="2">
        <fieldUsage x="-1"/>
        <fieldUsage x="2"/>
      </fieldsUsage>
    </cacheHierarchy>
    <cacheHierarchy uniqueName="[Table1].[Region]" caption="Region" attribute="1" defaultMemberUniqueName="[Table1].[Region].[All]" allUniqueName="[Table1].[Region].[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Total]" caption="Total" attribute="1" defaultMemberUniqueName="[Table1].[Total].[All]" allUniqueName="[Table1].[Total].[All]" dimensionUniqueName="[Table1]" displayFolder="" count="0" memberValueDatatype="5" unbalanced="0"/>
    <cacheHierarchy uniqueName="[Table1].[Order Date]" caption="Order Date" attribute="1" time="1" defaultMemberUniqueName="[Table1].[Order Date].[All]" allUniqueName="[Table1].[Order Date].[All]" dimensionUniqueName="[Table1]" displayFolder="" count="0" memberValueDatatype="7" unbalanced="0"/>
    <cacheHierarchy uniqueName="[Table1].[Sales Rep]" caption="Sales Rep" attribute="1" defaultMemberUniqueName="[Table1].[Sales Rep].[All]" allUniqueName="[Table1].[Sales Rep].[All]" dimensionUniqueName="[Table1]" displayFolder="" count="0" memberValueDatatype="130" unbalanced="0"/>
    <cacheHierarchy uniqueName="[Table1].[Total2]" caption="Total2" attribute="1" defaultMemberUniqueName="[Table1].[Total2].[All]" allUniqueName="[Table1].[Total2].[All]" dimensionUniqueName="[Table1]" displayFolder="" count="0" memberValueDatatype="5"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Target]" caption="Target" attribute="1" defaultMemberUniqueName="[Table1].[Target].[All]" allUniqueName="[Table1].[Target].[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Quantity]" caption="Sum of Quantity"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Total]" caption="Sum of Total"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lzaghal" refreshedDate="45871.143709490738" backgroundQuery="1" createdVersion="7" refreshedVersion="7" minRefreshableVersion="3" recordCount="0" supportSubquery="1" supportAdvancedDrill="1" xr:uid="{81886ECD-DE87-48CC-9F39-A574602A1595}">
  <cacheSource type="external" connectionId="1"/>
  <cacheFields count="3">
    <cacheField name="[Table1].[Sales Rep].[Sales Rep]" caption="Sales Rep" numFmtId="0" hierarchy="9" level="1">
      <sharedItems count="5">
        <s v="Ali"/>
        <s v="Dina"/>
        <s v="Mohamed"/>
        <s v="Sara"/>
        <s v="Youssef"/>
      </sharedItems>
    </cacheField>
    <cacheField name="[Measures].[Sum of Total]" caption="Sum of Total" numFmtId="0" hierarchy="21" level="32767"/>
    <cacheField name="[Table1].[Customer].[Customer]" caption="Customer" numFmtId="0" hierarchy="1" level="1">
      <sharedItems containsSemiMixedTypes="0" containsNonDate="0" containsString="0"/>
    </cacheField>
  </cacheFields>
  <cacheHierarchies count="22">
    <cacheHierarchy uniqueName="[Table1].[Order ID]" caption="Order ID" attribute="1" defaultMemberUniqueName="[Table1].[Order ID].[All]" allUniqueName="[Table1].[Order ID].[All]" dimensionUniqueName="[Table1]" displayFolder="" count="0" memberValueDatatype="130" unbalanced="0"/>
    <cacheHierarchy uniqueName="[Table1].[Customer]" caption="Customer" attribute="1" defaultMemberUniqueName="[Table1].[Customer].[All]" allUniqueName="[Table1].[Customer].[All]" dimensionUniqueName="[Table1]" displayFolder="" count="2" memberValueDatatype="130" unbalanced="0">
      <fieldsUsage count="2">
        <fieldUsage x="-1"/>
        <fieldUsage x="2"/>
      </fieldsUsage>
    </cacheHierarchy>
    <cacheHierarchy uniqueName="[Table1].[Region]" caption="Region" attribute="1" defaultMemberUniqueName="[Table1].[Region].[All]" allUniqueName="[Table1].[Region].[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Total]" caption="Total" attribute="1" defaultMemberUniqueName="[Table1].[Total].[All]" allUniqueName="[Table1].[Total].[All]" dimensionUniqueName="[Table1]" displayFolder="" count="0" memberValueDatatype="5" unbalanced="0"/>
    <cacheHierarchy uniqueName="[Table1].[Order Date]" caption="Order Date" attribute="1" time="1" defaultMemberUniqueName="[Table1].[Order Date].[All]" allUniqueName="[Table1].[Order Date].[All]" dimensionUniqueName="[Table1]" displayFolder="" count="0" memberValueDatatype="7" unbalanced="0"/>
    <cacheHierarchy uniqueName="[Table1].[Sales Rep]" caption="Sales Rep" attribute="1" defaultMemberUniqueName="[Table1].[Sales Rep].[All]" allUniqueName="[Table1].[Sales Rep].[All]" dimensionUniqueName="[Table1]" displayFolder="" count="2" memberValueDatatype="130" unbalanced="0">
      <fieldsUsage count="2">
        <fieldUsage x="-1"/>
        <fieldUsage x="0"/>
      </fieldsUsage>
    </cacheHierarchy>
    <cacheHierarchy uniqueName="[Table1].[Total2]" caption="Total2" attribute="1" defaultMemberUniqueName="[Table1].[Total2].[All]" allUniqueName="[Table1].[Total2].[All]" dimensionUniqueName="[Table1]" displayFolder="" count="0" memberValueDatatype="5"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Target]" caption="Target" attribute="1" defaultMemberUniqueName="[Table1].[Target].[All]" allUniqueName="[Table1].[Target].[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y uniqueName="[Measures].[Sum of Total]" caption="Sum of Total"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lzaghal" refreshedDate="45871.143710069446" backgroundQuery="1" createdVersion="7" refreshedVersion="7" minRefreshableVersion="3" recordCount="0" supportSubquery="1" supportAdvancedDrill="1" xr:uid="{9583E334-979F-486B-9AA3-DCE000B0770F}">
  <cacheSource type="external" connectionId="1"/>
  <cacheFields count="6">
    <cacheField name="[Table1].[Order Date].[Order Date]" caption="Order Date" numFmtId="0" hierarchy="8" level="1">
      <sharedItems containsSemiMixedTypes="0" containsNonDate="0" containsDate="1" containsString="0" minDate="2025-05-30T00:00:00" maxDate="2026-07-31T00:00:00" count="15">
        <d v="2025-05-30T00:00:00"/>
        <d v="2025-06-30T00:00:00"/>
        <d v="2025-07-30T00:00:00"/>
        <d v="2025-08-30T00:00:00"/>
        <d v="2025-09-30T00:00:00"/>
        <d v="2025-10-30T00:00:00"/>
        <d v="2025-11-30T00:00:00"/>
        <d v="2025-12-30T00:00:00"/>
        <d v="2026-01-30T00:00:00"/>
        <d v="2026-02-28T00:00:00"/>
        <d v="2026-03-30T00:00:00"/>
        <d v="2026-04-30T00:00:00"/>
        <d v="2026-05-30T00:00:00"/>
        <d v="2026-06-30T00:00:00"/>
        <d v="2026-07-30T00:00:00"/>
      </sharedItems>
    </cacheField>
    <cacheField name="[Table1].[Order Date (Month)].[Order Date (Month)]" caption="Order Date (Month)" numFmtId="0" hierarchy="16" level="1">
      <sharedItems count="6">
        <s v="May"/>
        <s v="Jun"/>
        <s v="Jul"/>
        <s v="Aug"/>
        <s v="Sep"/>
        <s v="Apr"/>
      </sharedItems>
    </cacheField>
    <cacheField name="[Table1].[Order Date (Quarter)].[Order Date (Quarter)]" caption="Order Date (Quarter)" numFmtId="0" hierarchy="15" level="1">
      <sharedItems count="4">
        <s v="Qtr2"/>
        <s v="Qtr3"/>
        <s v="Qtr4"/>
        <s v="Qtr1"/>
      </sharedItems>
    </cacheField>
    <cacheField name="[Table1].[Order Date (Year)].[Order Date (Year)]" caption="Order Date (Year)" numFmtId="0" hierarchy="14" level="1">
      <sharedItems count="2">
        <s v="2025"/>
        <s v="2026"/>
      </sharedItems>
    </cacheField>
    <cacheField name="[Measures].[Sum of Total]" caption="Sum of Total" numFmtId="0" hierarchy="21" level="32767"/>
    <cacheField name="[Table1].[Customer].[Customer]" caption="Customer" numFmtId="0" hierarchy="1" level="1">
      <sharedItems containsSemiMixedTypes="0" containsNonDate="0" containsString="0"/>
    </cacheField>
  </cacheFields>
  <cacheHierarchies count="22">
    <cacheHierarchy uniqueName="[Table1].[Order ID]" caption="Order ID" attribute="1" defaultMemberUniqueName="[Table1].[Order ID].[All]" allUniqueName="[Table1].[Order ID].[All]" dimensionUniqueName="[Table1]" displayFolder="" count="2" memberValueDatatype="130" unbalanced="0"/>
    <cacheHierarchy uniqueName="[Table1].[Customer]" caption="Customer" attribute="1" defaultMemberUniqueName="[Table1].[Customer].[All]" allUniqueName="[Table1].[Customer].[All]" dimensionUniqueName="[Table1]" displayFolder="" count="2" memberValueDatatype="130" unbalanced="0">
      <fieldsUsage count="2">
        <fieldUsage x="-1"/>
        <fieldUsage x="5"/>
      </fieldsUsage>
    </cacheHierarchy>
    <cacheHierarchy uniqueName="[Table1].[Region]" caption="Region" attribute="1" defaultMemberUniqueName="[Table1].[Region].[All]" allUniqueName="[Table1].[Region].[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5" unbalanced="0"/>
    <cacheHierarchy uniqueName="[Table1].[Total]" caption="Total" attribute="1" defaultMemberUniqueName="[Table1].[Total].[All]" allUniqueName="[Table1].[Total].[All]" dimensionUniqueName="[Table1]" displayFolder="" count="2" memberValueDatatype="5" unbalanced="0"/>
    <cacheHierarchy uniqueName="[Table1].[Order Date]" caption="Order Date" attribute="1" time="1" defaultMemberUniqueName="[Table1].[Order Date].[All]" allUniqueName="[Table1].[Order Date].[All]" dimensionUniqueName="[Table1]" displayFolder="" count="2" memberValueDatatype="7" unbalanced="0">
      <fieldsUsage count="2">
        <fieldUsage x="-1"/>
        <fieldUsage x="0"/>
      </fieldsUsage>
    </cacheHierarchy>
    <cacheHierarchy uniqueName="[Table1].[Sales Rep]" caption="Sales Rep" attribute="1" defaultMemberUniqueName="[Table1].[Sales Rep].[All]" allUniqueName="[Table1].[Sales Rep].[All]" dimensionUniqueName="[Table1]" displayFolder="" count="2" memberValueDatatype="130" unbalanced="0"/>
    <cacheHierarchy uniqueName="[Table1].[Total2]" caption="Total2" attribute="1" defaultMemberUniqueName="[Table1].[Total2].[All]" allUniqueName="[Table1].[Total2].[All]" dimensionUniqueName="[Table1]" displayFolder="" count="2" memberValueDatatype="5" unbalanced="0"/>
    <cacheHierarchy uniqueName="[Table1].[Month]" caption="Month" attribute="1" defaultMemberUniqueName="[Table1].[Month].[All]" allUniqueName="[Table1].[Month].[All]" dimensionUniqueName="[Table1]" displayFolder="" count="2" memberValueDatatype="20" unbalanced="0"/>
    <cacheHierarchy uniqueName="[Table1].[Year]" caption="Year" attribute="1" defaultMemberUniqueName="[Table1].[Year].[All]" allUniqueName="[Table1].[Year].[All]" dimensionUniqueName="[Table1]" displayFolder="" count="2" memberValueDatatype="20" unbalanced="0"/>
    <cacheHierarchy uniqueName="[Table1].[Target]" caption="Target" attribute="1" defaultMemberUniqueName="[Table1].[Target].[All]" allUniqueName="[Table1].[Target].[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3"/>
      </fieldsUsage>
    </cacheHierarchy>
    <cacheHierarchy uniqueName="[Table1].[Order Date (Quarter)]" caption="Order Date (Quarter)" attribute="1" defaultMemberUniqueName="[Table1].[Order Date (Quarter)].[All]" allUniqueName="[Table1].[Order Date (Quarter)].[All]" dimensionUniqueName="[Table1]" displayFolder="" count="2" memberValueDatatype="130" unbalanced="0">
      <fieldsUsage count="2">
        <fieldUsage x="-1"/>
        <fieldUsage x="2"/>
      </fieldsUsage>
    </cacheHierarchy>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y uniqueName="[Measures].[Sum of Total]" caption="Sum of Total" measure="1" displayFolder="" measureGroup="Table1" count="0" oneField="1" hidden="1">
      <fieldsUsage count="1">
        <fieldUsage x="4"/>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lzaghal" refreshedDate="45871.142039467595" backgroundQuery="1" createdVersion="3" refreshedVersion="7" minRefreshableVersion="3" recordCount="0" supportSubquery="1" supportAdvancedDrill="1" xr:uid="{04F4D144-205A-4C91-9A85-62193B02CAC3}">
  <cacheSource type="external" connectionId="1">
    <extLst>
      <ext xmlns:x14="http://schemas.microsoft.com/office/spreadsheetml/2009/9/main" uri="{F057638F-6D5F-4e77-A914-E7F072B9BCA8}">
        <x14:sourceConnection name="ThisWorkbookDataModel"/>
      </ext>
    </extLst>
  </cacheSource>
  <cacheFields count="0"/>
  <cacheHierarchies count="22">
    <cacheHierarchy uniqueName="[Table1].[Order ID]" caption="Order ID" attribute="1" defaultMemberUniqueName="[Table1].[Order ID].[All]" allUniqueName="[Table1].[Order ID].[All]" dimensionUniqueName="[Table1]" displayFolder="" count="0" memberValueDatatype="130" unbalanced="0"/>
    <cacheHierarchy uniqueName="[Table1].[Customer]" caption="Customer" attribute="1" defaultMemberUniqueName="[Table1].[Customer].[All]" allUniqueName="[Table1].[Customer].[All]" dimensionUniqueName="[Table1]" displayFolder="" count="2"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Total]" caption="Total" attribute="1" defaultMemberUniqueName="[Table1].[Total].[All]" allUniqueName="[Table1].[Total].[All]" dimensionUniqueName="[Table1]" displayFolder="" count="2" memberValueDatatype="5" unbalanced="0"/>
    <cacheHierarchy uniqueName="[Table1].[Order Date]" caption="Order Date" attribute="1" time="1" defaultMemberUniqueName="[Table1].[Order Date].[All]" allUniqueName="[Table1].[Order Date].[All]" dimensionUniqueName="[Table1]" displayFolder="" count="0" memberValueDatatype="7" unbalanced="0"/>
    <cacheHierarchy uniqueName="[Table1].[Sales Rep]" caption="Sales Rep" attribute="1" defaultMemberUniqueName="[Table1].[Sales Rep].[All]" allUniqueName="[Table1].[Sales Rep].[All]" dimensionUniqueName="[Table1]" displayFolder="" count="0" memberValueDatatype="130" unbalanced="0"/>
    <cacheHierarchy uniqueName="[Table1].[Total2]" caption="Total2" attribute="1" defaultMemberUniqueName="[Table1].[Total2].[All]" allUniqueName="[Table1].[Total2].[All]" dimensionUniqueName="[Table1]" displayFolder="" count="0" memberValueDatatype="5"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Target]" caption="Target" attribute="1" defaultMemberUniqueName="[Table1].[Target].[All]" allUniqueName="[Table1].[Target].[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y uniqueName="[Measures].[Sum of Total]" caption="Sum of Total" measure="1" displayFolder="" measureGroup="Table1"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64453999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969D65-E2CE-480C-BD65-F7E2476837E7}" name="Sales Anlysis by seller" cacheId="5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0">
  <location ref="B3:C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otal" fld="1" baseField="0" baseItem="0"/>
  </dataFields>
  <formats count="1">
    <format dxfId="2">
      <pivotArea collapsedLevelsAreSubtotals="1" fieldPosition="0">
        <references count="1">
          <reference field="0" count="0"/>
        </references>
      </pivotArea>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2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9DBBF7-73F7-4DF5-BD2F-00065CB51A51}" name="Sales Anlysis by month" cacheId="5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B2:C20" firstHeaderRow="1" firstDataRow="1" firstDataCol="1"/>
  <pivotFields count="6">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Row" allDrilled="1" subtotalTop="0" showAll="0" dataSourceSort="1" defaultSubtotal="0">
      <items count="6">
        <item x="0" e="0"/>
        <item x="1" e="0"/>
        <item x="2" e="0"/>
        <item x="3" e="0"/>
        <item x="4" e="0"/>
        <item x="5" e="0"/>
      </items>
    </pivotField>
    <pivotField axis="axisRow" allDrilled="1" subtotalTop="0" showAll="0" dataSourceSort="1" defaultSubtotal="0">
      <items count="4">
        <item x="0"/>
        <item x="1"/>
        <item x="2" e="0"/>
        <item x="3" e="0"/>
      </items>
    </pivotField>
    <pivotField axis="axisRow" allDrilled="1" subtotalTop="0" showAll="0" sortType="ascending" defaultSubtotal="0">
      <items count="2">
        <item x="0"/>
        <item x="1"/>
      </items>
    </pivotField>
    <pivotField dataField="1" subtotalTop="0" showAll="0" defaultSubtotal="0"/>
    <pivotField allDrilled="1" subtotalTop="0" showAll="0" dataSourceSort="1" defaultSubtotal="0" defaultAttributeDrillState="1"/>
  </pivotFields>
  <rowFields count="4">
    <field x="3"/>
    <field x="2"/>
    <field x="1"/>
    <field x="0"/>
  </rowFields>
  <rowItems count="18">
    <i>
      <x/>
    </i>
    <i r="1">
      <x/>
    </i>
    <i r="2">
      <x/>
    </i>
    <i r="2">
      <x v="1"/>
    </i>
    <i r="1">
      <x v="1"/>
    </i>
    <i r="2">
      <x v="2"/>
    </i>
    <i r="2">
      <x v="3"/>
    </i>
    <i r="2">
      <x v="4"/>
    </i>
    <i r="1">
      <x v="2"/>
    </i>
    <i>
      <x v="1"/>
    </i>
    <i r="1">
      <x v="3"/>
    </i>
    <i r="1">
      <x/>
    </i>
    <i r="2">
      <x v="5"/>
    </i>
    <i r="2">
      <x/>
    </i>
    <i r="2">
      <x v="1"/>
    </i>
    <i r="1">
      <x v="1"/>
    </i>
    <i r="2">
      <x v="2"/>
    </i>
    <i t="grand">
      <x/>
    </i>
  </rowItems>
  <colItems count="1">
    <i/>
  </colItems>
  <dataFields count="1">
    <dataField name="Sum of Total"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4">
    <rowHierarchyUsage hierarchyUsage="14"/>
    <rowHierarchyUsage hierarchyUsage="15"/>
    <rowHierarchyUsage hierarchyUsage="16"/>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99B2AC-E51C-4FA8-8778-1025F6D86719}" name="Sales Anlysis by category" cacheId="4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8">
  <location ref="B2:C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Total" fld="1" baseField="0" baseItem="0"/>
  </dataFields>
  <formats count="1">
    <format dxfId="3">
      <pivotArea collapsedLevelsAreSubtotals="1" fieldPosition="0">
        <references count="1">
          <reference field="0" count="0"/>
        </references>
      </pivotArea>
    </format>
  </formats>
  <chartFormats count="5">
    <chartFormat chart="7"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2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D203AE-5739-4E81-870B-7074040B08F8}" name="Sales Anlysis by product" cacheId="5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6">
  <location ref="B3:C9" firstHeaderRow="1" firstDataRow="1" firstDataCol="1"/>
  <pivotFields count="3">
    <pivotField axis="axisRow" allDrilled="1" subtotalTop="0" showAll="0" sortType="ascending"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Quantity" fld="1" baseField="0" baseItem="0"/>
  </dataFields>
  <chartFormats count="13">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5" format="10">
      <pivotArea type="data" outline="0" fieldPosition="0">
        <references count="2">
          <reference field="4294967294" count="1" selected="0">
            <x v="0"/>
          </reference>
          <reference field="0" count="1" selected="0">
            <x v="2"/>
          </reference>
        </references>
      </pivotArea>
    </chartFormat>
    <chartFormat chart="5" format="11">
      <pivotArea type="data" outline="0" fieldPosition="0">
        <references count="2">
          <reference field="4294967294" count="1" selected="0">
            <x v="0"/>
          </reference>
          <reference field="0" count="1" selected="0">
            <x v="3"/>
          </reference>
        </references>
      </pivotArea>
    </chartFormat>
    <chartFormat chart="5" format="12">
      <pivotArea type="data" outline="0" fieldPosition="0">
        <references count="2">
          <reference field="4294967294" count="1" selected="0">
            <x v="0"/>
          </reference>
          <reference field="0" count="1" selected="0">
            <x v="4"/>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2" format="4">
      <pivotArea type="data" outline="0" fieldPosition="0">
        <references count="2">
          <reference field="4294967294" count="1" selected="0">
            <x v="0"/>
          </reference>
          <reference field="0" count="1" selected="0">
            <x v="3"/>
          </reference>
        </references>
      </pivotArea>
    </chartFormat>
    <chartFormat chart="2" format="5">
      <pivotArea type="data" outline="0" fieldPosition="0">
        <references count="2">
          <reference field="4294967294" count="1" selected="0">
            <x v="0"/>
          </reference>
          <reference field="0" count="1" selected="0">
            <x v="4"/>
          </reference>
        </references>
      </pivotArea>
    </chartFormat>
  </chartFormats>
  <pivotHierarchies count="2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470D3755-EC0A-4EEB-8261-D9B506EBDD8F}" sourceName="[Table1].[Customer]">
  <pivotTables>
    <pivotTable tabId="7" name="Sales Anlysis by month"/>
    <pivotTable tabId="5" name="Sales Anlysis by category"/>
    <pivotTable tabId="3" name="Sales Anlysis by product"/>
    <pivotTable tabId="6" name="Sales Anlysis by seller"/>
  </pivotTables>
  <data>
    <olap pivotCacheId="644539996">
      <levels count="2">
        <level uniqueName="[Table1].[Customer].[(All)]" sourceCaption="(All)" count="0"/>
        <level uniqueName="[Table1].[Customer].[Customer]" sourceCaption="Customer" count="15">
          <ranges>
            <range startItem="0">
              <i n="[Table1].[Customer].&amp;[Brady Miles]" c="Brady Miles"/>
              <i n="[Table1].[Customer].&amp;[Cole Cline]" c="Cole Cline"/>
              <i n="[Table1].[Customer].&amp;[David George]" c="David George"/>
              <i n="[Table1].[Customer].&amp;[Halk]" c="Halk"/>
              <i n="[Table1].[Customer].&amp;[Jack Dosen]" c="Jack Dosen"/>
              <i n="[Table1].[Customer].&amp;[Jessica Pierce]" c="Jessica Pierce"/>
              <i n="[Table1].[Customer].&amp;[Kimberly Jones]" c="Kimberly Jones"/>
              <i n="[Table1].[Customer].&amp;[Manuel Guerra]" c="Manuel Guerra"/>
              <i n="[Table1].[Customer].&amp;[Michael Allen]" c="Michael Allen"/>
              <i n="[Table1].[Customer].&amp;[Michelle Ferguson]" c="Michelle Ferguson"/>
              <i n="[Table1].[Customer].&amp;[Misty Huber]" c="Misty Huber"/>
              <i n="[Table1].[Customer].&amp;[Mrs. Samantha Newton]" c="Mrs. Samantha Newton"/>
              <i n="[Table1].[Customer].&amp;[Paper starck]" c="Paper starck"/>
              <i n="[Table1].[Customer].&amp;[Rose]" c="Rose"/>
              <i n="[Table1].[Customer].&amp;[Tony Starck]" c="Tony Starck"/>
            </range>
          </ranges>
        </level>
      </levels>
      <selections count="1">
        <selection n="[Table1].[Custom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 xr10:uid="{BE74B1A6-2FAB-4876-A1FC-143E774DC659}" sourceName="[Table1].[Total]">
  <pivotTables>
    <pivotTable tabId="7" name="Sales Anlysis by month"/>
  </pivotTables>
  <data>
    <olap pivotCacheId="644539996">
      <levels count="2">
        <level uniqueName="[Table1].[Total].[(All)]" sourceCaption="(All)" count="0"/>
        <level uniqueName="[Table1].[Total].[Total]" sourceCaption="Total" count="15">
          <ranges>
            <range startItem="0">
              <i n="[Table1].[Total].&amp;[2.212E2]" c="221.2"/>
              <i n="[Table1].[Total].&amp;[2.8818E2]" c="288.18"/>
              <i n="[Table1].[Total].&amp;[8.7102E2]" c="871.02"/>
              <i n="[Table1].[Total].&amp;[1.03796E3]" c="1037.96"/>
              <i n="[Table1].[Total].&amp;[1.12194E3]" c="1121.94"/>
              <i n="[Table1].[Total].&amp;[1.26216E3]" c="1262.16"/>
              <i n="[Table1].[Total].&amp;[1.71304E3]" c="1713.04"/>
              <i n="[Table1].[Total].&amp;[2.12582266666667E3]" c="2125.82266666667"/>
              <i n="[Table1].[Total].&amp;[2.24243224242424E3]" c="2242.43224242424"/>
              <i n="[Table1].[Total].&amp;[2.35904181818182E3]" c="2359.04181818182"/>
              <i n="[Table1].[Total].&amp;[2.37366E3]" c="2373.66"/>
              <i n="[Table1].[Total].&amp;[2.4756513939394E3]" c="2475.6513939394"/>
              <i n="[Table1].[Total].&amp;[2.59226096969697E3]" c="2592.26096969697"/>
              <i n="[Table1].[Total].&amp;[2.70384E3]" c="2703.84"/>
              <i n="[Table1].[Total].&amp;[3.2517E3]" c="3251.7"/>
            </range>
          </ranges>
        </level>
      </levels>
      <selections count="1">
        <selection n="[Table1].[Tota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xr10:uid="{1828DACD-4676-49A8-A144-449746F2EF8A}" cache="Slicer_Customer" caption="Customer" level="1" rowHeight="241300"/>
  <slicer name="Total" xr10:uid="{BF16907A-F665-4836-B1C0-FC8653888F73}" cache="Slicer_Total" caption="Total"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6E7092-2E04-4E3D-BF21-62E6A2CD7CC2}" name="Table1" displayName="Table1" ref="C3:P18" totalsRowShown="0" headerRowDxfId="26" dataDxfId="25">
  <autoFilter ref="C3:P18" xr:uid="{5D6E7092-2E04-4E3D-BF21-62E6A2CD7CC2}"/>
  <tableColumns count="14">
    <tableColumn id="1" xr3:uid="{B217AE02-CA6E-47E5-AA55-BEAC0D4F3E64}" name="Order ID" dataDxfId="24"/>
    <tableColumn id="2" xr3:uid="{B3FF03E4-8644-4D51-BEFD-5F431987D9E5}" name="Customer" dataDxfId="23"/>
    <tableColumn id="3" xr3:uid="{E949FA20-939F-4832-A189-8DC8F05470B8}" name="Region" dataDxfId="22"/>
    <tableColumn id="4" xr3:uid="{4D4C373B-A1AC-44C9-A03A-38A72D3C0218}" name="Product" dataDxfId="21"/>
    <tableColumn id="5" xr3:uid="{436BD014-8AF8-4220-82D0-CCC71B20E0EA}" name="Category" dataDxfId="20"/>
    <tableColumn id="6" xr3:uid="{ED42FF88-3B7F-49ED-8B98-21D3819F10A7}" name="Quantity" dataDxfId="19"/>
    <tableColumn id="7" xr3:uid="{B14C1E70-0D4F-4D38-B089-05A1AE5247F7}" name="Unit Price" dataDxfId="18"/>
    <tableColumn id="8" xr3:uid="{9B190FA4-B7FB-457F-93F3-8E34E125FF5B}" name="Total" dataDxfId="17"/>
    <tableColumn id="9" xr3:uid="{42B80C4B-C7D5-4BE0-89DF-61DA442B87E5}" name="Order Date" dataDxfId="16"/>
    <tableColumn id="10" xr3:uid="{81D36830-807C-420F-8D65-39B4F9E906DB}" name="Sales Rep" dataDxfId="15"/>
    <tableColumn id="11" xr3:uid="{DCDF4310-1305-4A3C-A286-51518DE08084}" name="Total2" dataDxfId="14">
      <calculatedColumnFormula>Table1[[#This Row],[Quantity]]*Table1[[#This Row],[Unit Price]]</calculatedColumnFormula>
    </tableColumn>
    <tableColumn id="12" xr3:uid="{BD4055FD-E78C-4E0F-9358-18A8F41290C7}" name="Month " dataDxfId="13">
      <calculatedColumnFormula>MONTH(Table1[[#This Row],[Order Date]])</calculatedColumnFormula>
    </tableColumn>
    <tableColumn id="13" xr3:uid="{A46D920F-E10A-40FD-8B3B-6DBC1F9EBA02}" name="Year" dataDxfId="12">
      <calculatedColumnFormula>YEAR(Table1[[#This Row],[Order Date]])</calculatedColumnFormula>
    </tableColumn>
    <tableColumn id="14" xr3:uid="{E0082D82-006A-4A3A-9524-8E099F1B2671}" name="Target" dataDxfId="11">
      <calculatedColumnFormula>IF(Table1[[#This Row],[Total]]&gt;1000,"It is target","It is not target")</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7498F-3F2D-4F4D-86F1-354415C4BFE1}">
  <sheetPr>
    <tabColor theme="5" tint="-0.249977111117893"/>
  </sheetPr>
  <dimension ref="C1:P21"/>
  <sheetViews>
    <sheetView rightToLeft="1" topLeftCell="C1" zoomScale="86" zoomScaleNormal="86" workbookViewId="0">
      <selection activeCell="C3" sqref="C3:P18"/>
    </sheetView>
  </sheetViews>
  <sheetFormatPr defaultRowHeight="15" x14ac:dyDescent="0.25"/>
  <cols>
    <col min="2" max="2" width="9.140625" customWidth="1"/>
    <col min="3" max="3" width="18.7109375" customWidth="1"/>
    <col min="4" max="4" width="21.85546875" customWidth="1"/>
    <col min="5" max="5" width="14.7109375" customWidth="1"/>
    <col min="6" max="6" width="16.85546875" customWidth="1"/>
    <col min="7" max="7" width="18.140625" customWidth="1"/>
    <col min="8" max="9" width="18.85546875" customWidth="1"/>
    <col min="10" max="10" width="14.140625" customWidth="1"/>
    <col min="11" max="11" width="18.7109375" customWidth="1"/>
    <col min="12" max="12" width="19" customWidth="1"/>
    <col min="13" max="13" width="16.140625" customWidth="1"/>
    <col min="14" max="14" width="19.42578125" customWidth="1"/>
    <col min="15" max="15" width="20.140625" customWidth="1"/>
    <col min="16" max="16" width="20.42578125" customWidth="1"/>
    <col min="17" max="17" width="19.7109375" customWidth="1"/>
  </cols>
  <sheetData>
    <row r="1" spans="3:16" ht="16.5" customHeight="1" x14ac:dyDescent="0.25">
      <c r="C1" s="13" t="s">
        <v>57</v>
      </c>
      <c r="D1" s="13"/>
      <c r="E1" s="13"/>
      <c r="F1" s="13"/>
      <c r="G1" s="13"/>
      <c r="H1" s="13"/>
      <c r="I1" s="13"/>
      <c r="J1" s="13"/>
      <c r="K1" s="13"/>
      <c r="L1" s="13"/>
      <c r="M1" s="13"/>
      <c r="N1" s="13"/>
      <c r="O1" s="13"/>
      <c r="P1" s="13"/>
    </row>
    <row r="2" spans="3:16" ht="13.5" customHeight="1" x14ac:dyDescent="0.25"/>
    <row r="3" spans="3:16" ht="19.5" customHeight="1" x14ac:dyDescent="0.25">
      <c r="C3" s="1" t="s">
        <v>0</v>
      </c>
      <c r="D3" s="1" t="s">
        <v>1</v>
      </c>
      <c r="E3" s="1" t="s">
        <v>2</v>
      </c>
      <c r="F3" s="1" t="s">
        <v>3</v>
      </c>
      <c r="G3" s="1" t="s">
        <v>4</v>
      </c>
      <c r="H3" s="1" t="s">
        <v>5</v>
      </c>
      <c r="I3" s="1" t="s">
        <v>6</v>
      </c>
      <c r="J3" s="1" t="s">
        <v>7</v>
      </c>
      <c r="K3" s="1" t="s">
        <v>8</v>
      </c>
      <c r="L3" s="1" t="s">
        <v>9</v>
      </c>
      <c r="M3" s="1" t="s">
        <v>58</v>
      </c>
      <c r="N3" s="1" t="s">
        <v>59</v>
      </c>
      <c r="O3" s="1" t="s">
        <v>60</v>
      </c>
      <c r="P3" s="1" t="s">
        <v>61</v>
      </c>
    </row>
    <row r="4" spans="3:16" x14ac:dyDescent="0.25">
      <c r="C4" s="2" t="s">
        <v>11</v>
      </c>
      <c r="D4" s="2" t="s">
        <v>12</v>
      </c>
      <c r="E4" s="2" t="s">
        <v>13</v>
      </c>
      <c r="F4" s="2" t="s">
        <v>14</v>
      </c>
      <c r="G4" s="2" t="s">
        <v>15</v>
      </c>
      <c r="H4" s="2">
        <v>3</v>
      </c>
      <c r="I4" s="3">
        <v>373.98</v>
      </c>
      <c r="J4" s="8">
        <v>1121.94</v>
      </c>
      <c r="K4" s="4">
        <v>45807</v>
      </c>
      <c r="L4" s="2" t="s">
        <v>16</v>
      </c>
      <c r="M4" s="9">
        <f>Table1[[#This Row],[Quantity]]*Table1[[#This Row],[Unit Price]]</f>
        <v>1121.94</v>
      </c>
      <c r="N4" s="2">
        <f>MONTH(Table1[[#This Row],[Order Date]])</f>
        <v>5</v>
      </c>
      <c r="O4" s="2">
        <f>YEAR(Table1[[#This Row],[Order Date]])</f>
        <v>2025</v>
      </c>
      <c r="P4" s="3" t="str">
        <f>IF(Table1[[#This Row],[Total]]&gt;1000,"It is target","It is not target")</f>
        <v>It is target</v>
      </c>
    </row>
    <row r="5" spans="3:16" ht="24" customHeight="1" x14ac:dyDescent="0.25">
      <c r="C5" s="2" t="s">
        <v>17</v>
      </c>
      <c r="D5" s="2" t="s">
        <v>18</v>
      </c>
      <c r="E5" s="2" t="s">
        <v>19</v>
      </c>
      <c r="F5" s="2" t="s">
        <v>20</v>
      </c>
      <c r="G5" s="2" t="s">
        <v>21</v>
      </c>
      <c r="H5" s="2">
        <v>3</v>
      </c>
      <c r="I5" s="3">
        <v>96.06</v>
      </c>
      <c r="J5" s="8">
        <v>288.18</v>
      </c>
      <c r="K5" s="4">
        <v>45838</v>
      </c>
      <c r="L5" s="2" t="s">
        <v>22</v>
      </c>
      <c r="M5" s="9">
        <f>Table1[[#This Row],[Quantity]]*Table1[[#This Row],[Unit Price]]</f>
        <v>288.18</v>
      </c>
      <c r="N5" s="2">
        <f>MONTH(Table1[[#This Row],[Order Date]])</f>
        <v>6</v>
      </c>
      <c r="O5" s="2">
        <f>YEAR(Table1[[#This Row],[Order Date]])</f>
        <v>2025</v>
      </c>
      <c r="P5" s="3" t="str">
        <f>IF(Table1[[#This Row],[Total]]&gt;1000,"It is target","It is not target")</f>
        <v>It is not target</v>
      </c>
    </row>
    <row r="6" spans="3:16" ht="16.5" customHeight="1" x14ac:dyDescent="0.25">
      <c r="C6" s="2" t="s">
        <v>23</v>
      </c>
      <c r="D6" s="2" t="s">
        <v>24</v>
      </c>
      <c r="E6" s="2" t="s">
        <v>13</v>
      </c>
      <c r="F6" s="2" t="s">
        <v>14</v>
      </c>
      <c r="G6" s="2" t="s">
        <v>15</v>
      </c>
      <c r="H6" s="2">
        <v>8</v>
      </c>
      <c r="I6" s="3">
        <v>214.13</v>
      </c>
      <c r="J6" s="8">
        <v>1713.04</v>
      </c>
      <c r="K6" s="4">
        <v>45868</v>
      </c>
      <c r="L6" s="2" t="s">
        <v>25</v>
      </c>
      <c r="M6" s="9">
        <f>Table1[[#This Row],[Quantity]]*Table1[[#This Row],[Unit Price]]</f>
        <v>1713.04</v>
      </c>
      <c r="N6" s="2">
        <f>MONTH(Table1[[#This Row],[Order Date]])</f>
        <v>7</v>
      </c>
      <c r="O6" s="2">
        <f>YEAR(Table1[[#This Row],[Order Date]])</f>
        <v>2025</v>
      </c>
      <c r="P6" s="3" t="str">
        <f>IF(Table1[[#This Row],[Total]]&gt;1000,"It is target","It is not target")</f>
        <v>It is target</v>
      </c>
    </row>
    <row r="7" spans="3:16" ht="15" customHeight="1" x14ac:dyDescent="0.25">
      <c r="C7" s="2" t="s">
        <v>26</v>
      </c>
      <c r="D7" s="2" t="s">
        <v>27</v>
      </c>
      <c r="E7" s="2" t="s">
        <v>28</v>
      </c>
      <c r="F7" s="2" t="s">
        <v>20</v>
      </c>
      <c r="G7" s="2" t="s">
        <v>21</v>
      </c>
      <c r="H7" s="2">
        <v>6</v>
      </c>
      <c r="I7" s="3">
        <v>395.61</v>
      </c>
      <c r="J7" s="8">
        <v>2373.66</v>
      </c>
      <c r="K7" s="4">
        <v>45899</v>
      </c>
      <c r="L7" s="2" t="s">
        <v>25</v>
      </c>
      <c r="M7" s="9">
        <f>Table1[[#This Row],[Quantity]]*Table1[[#This Row],[Unit Price]]</f>
        <v>2373.66</v>
      </c>
      <c r="N7" s="2">
        <f>MONTH(Table1[[#This Row],[Order Date]])</f>
        <v>8</v>
      </c>
      <c r="O7" s="2">
        <f>YEAR(Table1[[#This Row],[Order Date]])</f>
        <v>2025</v>
      </c>
      <c r="P7" s="3" t="str">
        <f>IF(Table1[[#This Row],[Total]]&gt;1000,"It is target","It is not target")</f>
        <v>It is target</v>
      </c>
    </row>
    <row r="8" spans="3:16" ht="20.25" customHeight="1" x14ac:dyDescent="0.25">
      <c r="C8" s="2" t="s">
        <v>29</v>
      </c>
      <c r="D8" s="2" t="s">
        <v>30</v>
      </c>
      <c r="E8" s="2" t="s">
        <v>31</v>
      </c>
      <c r="F8" s="2" t="s">
        <v>20</v>
      </c>
      <c r="G8" s="2" t="s">
        <v>21</v>
      </c>
      <c r="H8" s="2">
        <v>4</v>
      </c>
      <c r="I8" s="3">
        <v>259.49</v>
      </c>
      <c r="J8" s="8">
        <v>1037.96</v>
      </c>
      <c r="K8" s="4">
        <v>45930</v>
      </c>
      <c r="L8" s="2" t="s">
        <v>16</v>
      </c>
      <c r="M8" s="9">
        <f>Table1[[#This Row],[Quantity]]*Table1[[#This Row],[Unit Price]]</f>
        <v>1037.96</v>
      </c>
      <c r="N8" s="2">
        <f>MONTH(Table1[[#This Row],[Order Date]])</f>
        <v>9</v>
      </c>
      <c r="O8" s="2">
        <f>YEAR(Table1[[#This Row],[Order Date]])</f>
        <v>2025</v>
      </c>
      <c r="P8" s="3" t="str">
        <f>IF(Table1[[#This Row],[Total]]&gt;1000,"It is target","It is not target")</f>
        <v>It is target</v>
      </c>
    </row>
    <row r="9" spans="3:16" ht="20.25" customHeight="1" x14ac:dyDescent="0.25">
      <c r="C9" s="2" t="s">
        <v>32</v>
      </c>
      <c r="D9" s="2" t="s">
        <v>33</v>
      </c>
      <c r="E9" s="2" t="s">
        <v>19</v>
      </c>
      <c r="F9" s="2" t="s">
        <v>34</v>
      </c>
      <c r="G9" s="2" t="s">
        <v>35</v>
      </c>
      <c r="H9" s="2">
        <v>9</v>
      </c>
      <c r="I9" s="3">
        <v>96.78</v>
      </c>
      <c r="J9" s="8">
        <v>871.02</v>
      </c>
      <c r="K9" s="4">
        <v>45960</v>
      </c>
      <c r="L9" s="2" t="s">
        <v>22</v>
      </c>
      <c r="M9" s="9">
        <f>Table1[[#This Row],[Quantity]]*Table1[[#This Row],[Unit Price]]</f>
        <v>871.02</v>
      </c>
      <c r="N9" s="2">
        <f>MONTH(Table1[[#This Row],[Order Date]])</f>
        <v>10</v>
      </c>
      <c r="O9" s="2">
        <f>YEAR(Table1[[#This Row],[Order Date]])</f>
        <v>2025</v>
      </c>
      <c r="P9" s="3" t="str">
        <f>IF(Table1[[#This Row],[Total]]&gt;1000,"It is target","It is not target")</f>
        <v>It is not target</v>
      </c>
    </row>
    <row r="10" spans="3:16" ht="21.75" customHeight="1" x14ac:dyDescent="0.25">
      <c r="C10" s="2" t="s">
        <v>36</v>
      </c>
      <c r="D10" s="2" t="s">
        <v>37</v>
      </c>
      <c r="E10" s="2" t="s">
        <v>19</v>
      </c>
      <c r="F10" s="2" t="s">
        <v>38</v>
      </c>
      <c r="G10" s="2" t="s">
        <v>35</v>
      </c>
      <c r="H10" s="2">
        <v>4</v>
      </c>
      <c r="I10" s="3">
        <v>55.3</v>
      </c>
      <c r="J10" s="8">
        <v>221.2</v>
      </c>
      <c r="K10" s="4">
        <v>45991</v>
      </c>
      <c r="L10" s="2" t="s">
        <v>16</v>
      </c>
      <c r="M10" s="9">
        <f>Table1[[#This Row],[Quantity]]*Table1[[#This Row],[Unit Price]]</f>
        <v>221.2</v>
      </c>
      <c r="N10" s="2">
        <f>MONTH(Table1[[#This Row],[Order Date]])</f>
        <v>11</v>
      </c>
      <c r="O10" s="2">
        <f>YEAR(Table1[[#This Row],[Order Date]])</f>
        <v>2025</v>
      </c>
      <c r="P10" s="3" t="str">
        <f>IF(Table1[[#This Row],[Total]]&gt;1000,"It is target","It is not target")</f>
        <v>It is not target</v>
      </c>
    </row>
    <row r="11" spans="3:16" x14ac:dyDescent="0.25">
      <c r="C11" s="2" t="s">
        <v>39</v>
      </c>
      <c r="D11" s="2" t="s">
        <v>40</v>
      </c>
      <c r="E11" s="2" t="s">
        <v>19</v>
      </c>
      <c r="F11" s="2" t="s">
        <v>38</v>
      </c>
      <c r="G11" s="2" t="s">
        <v>35</v>
      </c>
      <c r="H11" s="2">
        <v>10</v>
      </c>
      <c r="I11" s="3">
        <v>325.17</v>
      </c>
      <c r="J11" s="8">
        <v>3251.7</v>
      </c>
      <c r="K11" s="4">
        <v>46021</v>
      </c>
      <c r="L11" s="2" t="s">
        <v>41</v>
      </c>
      <c r="M11" s="9">
        <f>Table1[[#This Row],[Quantity]]*Table1[[#This Row],[Unit Price]]</f>
        <v>3251.7000000000003</v>
      </c>
      <c r="N11" s="2">
        <f>MONTH(Table1[[#This Row],[Order Date]])</f>
        <v>12</v>
      </c>
      <c r="O11" s="2">
        <f>YEAR(Table1[[#This Row],[Order Date]])</f>
        <v>2025</v>
      </c>
      <c r="P11" s="3" t="str">
        <f>IF(Table1[[#This Row],[Total]]&gt;1000,"It is target","It is not target")</f>
        <v>It is target</v>
      </c>
    </row>
    <row r="12" spans="3:16" x14ac:dyDescent="0.25">
      <c r="C12" s="2" t="s">
        <v>42</v>
      </c>
      <c r="D12" s="2" t="s">
        <v>43</v>
      </c>
      <c r="E12" s="2" t="s">
        <v>31</v>
      </c>
      <c r="F12" s="2" t="s">
        <v>44</v>
      </c>
      <c r="G12" s="2" t="s">
        <v>15</v>
      </c>
      <c r="H12" s="2">
        <v>8</v>
      </c>
      <c r="I12" s="3">
        <v>337.98</v>
      </c>
      <c r="J12" s="8">
        <v>2703.84</v>
      </c>
      <c r="K12" s="4">
        <v>46052</v>
      </c>
      <c r="L12" s="2" t="s">
        <v>45</v>
      </c>
      <c r="M12" s="9">
        <f>Table1[[#This Row],[Quantity]]*Table1[[#This Row],[Unit Price]]</f>
        <v>2703.84</v>
      </c>
      <c r="N12" s="2">
        <f>MONTH(Table1[[#This Row],[Order Date]])</f>
        <v>1</v>
      </c>
      <c r="O12" s="2">
        <f>YEAR(Table1[[#This Row],[Order Date]])</f>
        <v>2026</v>
      </c>
      <c r="P12" s="3" t="str">
        <f>IF(Table1[[#This Row],[Total]]&gt;1000,"It is target","It is not target")</f>
        <v>It is target</v>
      </c>
    </row>
    <row r="13" spans="3:16" x14ac:dyDescent="0.25">
      <c r="C13" s="2" t="s">
        <v>46</v>
      </c>
      <c r="D13" s="2" t="s">
        <v>47</v>
      </c>
      <c r="E13" s="2" t="s">
        <v>13</v>
      </c>
      <c r="F13" s="2" t="s">
        <v>14</v>
      </c>
      <c r="G13" s="2" t="s">
        <v>15</v>
      </c>
      <c r="H13" s="2">
        <v>9</v>
      </c>
      <c r="I13" s="3">
        <v>233.29222222222199</v>
      </c>
      <c r="J13" s="8">
        <v>1262.1600000000001</v>
      </c>
      <c r="K13" s="4">
        <v>46081</v>
      </c>
      <c r="L13" s="2" t="s">
        <v>25</v>
      </c>
      <c r="M13" s="9">
        <f>Table1[[#This Row],[Quantity]]*Table1[[#This Row],[Unit Price]]</f>
        <v>2099.6299999999978</v>
      </c>
      <c r="N13" s="2">
        <f>MONTH(Table1[[#This Row],[Order Date]])</f>
        <v>2</v>
      </c>
      <c r="O13" s="2">
        <f>YEAR(Table1[[#This Row],[Order Date]])</f>
        <v>2026</v>
      </c>
      <c r="P13" s="3" t="str">
        <f>IF(Table1[[#This Row],[Total]]&gt;1000,"It is target","It is not target")</f>
        <v>It is target</v>
      </c>
    </row>
    <row r="14" spans="3:16" ht="15.75" customHeight="1" x14ac:dyDescent="0.25">
      <c r="C14" s="2" t="s">
        <v>48</v>
      </c>
      <c r="D14" s="2" t="s">
        <v>53</v>
      </c>
      <c r="E14" s="2" t="s">
        <v>13</v>
      </c>
      <c r="F14" s="2" t="s">
        <v>14</v>
      </c>
      <c r="G14" s="2" t="s">
        <v>15</v>
      </c>
      <c r="H14" s="2">
        <v>7</v>
      </c>
      <c r="I14" s="3">
        <v>232.072888888889</v>
      </c>
      <c r="J14" s="8">
        <v>2125.8226666666701</v>
      </c>
      <c r="K14" s="4">
        <v>46111</v>
      </c>
      <c r="L14" s="2" t="s">
        <v>16</v>
      </c>
      <c r="M14" s="9">
        <f>Table1[[#This Row],[Quantity]]*Table1[[#This Row],[Unit Price]]</f>
        <v>1624.5102222222231</v>
      </c>
      <c r="N14" s="2">
        <f>MONTH(Table1[[#This Row],[Order Date]])</f>
        <v>3</v>
      </c>
      <c r="O14" s="2">
        <f>YEAR(Table1[[#This Row],[Order Date]])</f>
        <v>2026</v>
      </c>
      <c r="P14" s="3" t="str">
        <f>IF(Table1[[#This Row],[Total]]&gt;1000,"It is target","It is not target")</f>
        <v>It is target</v>
      </c>
    </row>
    <row r="15" spans="3:16" x14ac:dyDescent="0.25">
      <c r="C15" s="2" t="s">
        <v>49</v>
      </c>
      <c r="D15" s="2" t="s">
        <v>10</v>
      </c>
      <c r="E15" s="2" t="s">
        <v>19</v>
      </c>
      <c r="F15" s="2" t="s">
        <v>20</v>
      </c>
      <c r="G15" s="2" t="s">
        <v>21</v>
      </c>
      <c r="H15" s="2">
        <v>5</v>
      </c>
      <c r="I15" s="3">
        <v>230.853555555556</v>
      </c>
      <c r="J15" s="8">
        <v>2242.43224242424</v>
      </c>
      <c r="K15" s="4">
        <v>46142</v>
      </c>
      <c r="L15" s="2" t="s">
        <v>22</v>
      </c>
      <c r="M15" s="9">
        <f>Table1[[#This Row],[Quantity]]*Table1[[#This Row],[Unit Price]]</f>
        <v>1154.2677777777799</v>
      </c>
      <c r="N15" s="2">
        <f>MONTH(Table1[[#This Row],[Order Date]])</f>
        <v>4</v>
      </c>
      <c r="O15" s="2">
        <f>YEAR(Table1[[#This Row],[Order Date]])</f>
        <v>2026</v>
      </c>
      <c r="P15" s="3" t="str">
        <f>IF(Table1[[#This Row],[Total]]&gt;1000,"It is target","It is not target")</f>
        <v>It is target</v>
      </c>
    </row>
    <row r="16" spans="3:16" x14ac:dyDescent="0.25">
      <c r="C16" s="2" t="s">
        <v>50</v>
      </c>
      <c r="D16" s="2" t="s">
        <v>55</v>
      </c>
      <c r="E16" s="2" t="s">
        <v>13</v>
      </c>
      <c r="F16" s="2" t="s">
        <v>14</v>
      </c>
      <c r="G16" s="2" t="s">
        <v>15</v>
      </c>
      <c r="H16" s="2">
        <v>12</v>
      </c>
      <c r="I16" s="3">
        <v>229.63422222222201</v>
      </c>
      <c r="J16" s="8">
        <v>2359.04181818182</v>
      </c>
      <c r="K16" s="4">
        <v>46172</v>
      </c>
      <c r="L16" s="2" t="s">
        <v>25</v>
      </c>
      <c r="M16" s="9">
        <f>Table1[[#This Row],[Quantity]]*Table1[[#This Row],[Unit Price]]</f>
        <v>2755.6106666666642</v>
      </c>
      <c r="N16" s="2">
        <f>MONTH(Table1[[#This Row],[Order Date]])</f>
        <v>5</v>
      </c>
      <c r="O16" s="2">
        <f>YEAR(Table1[[#This Row],[Order Date]])</f>
        <v>2026</v>
      </c>
      <c r="P16" s="3" t="str">
        <f>IF(Table1[[#This Row],[Total]]&gt;1000,"It is target","It is not target")</f>
        <v>It is target</v>
      </c>
    </row>
    <row r="17" spans="3:16" ht="16.5" customHeight="1" x14ac:dyDescent="0.25">
      <c r="C17" s="2" t="s">
        <v>51</v>
      </c>
      <c r="D17" s="2" t="s">
        <v>54</v>
      </c>
      <c r="E17" s="2" t="s">
        <v>28</v>
      </c>
      <c r="F17" s="2" t="s">
        <v>20</v>
      </c>
      <c r="G17" s="2" t="s">
        <v>21</v>
      </c>
      <c r="H17" s="2">
        <v>15</v>
      </c>
      <c r="I17" s="3">
        <v>228.41488888888901</v>
      </c>
      <c r="J17" s="8">
        <v>2475.6513939393999</v>
      </c>
      <c r="K17" s="4">
        <v>46203</v>
      </c>
      <c r="L17" s="2" t="s">
        <v>25</v>
      </c>
      <c r="M17" s="9">
        <f>Table1[[#This Row],[Quantity]]*Table1[[#This Row],[Unit Price]]</f>
        <v>3426.2233333333352</v>
      </c>
      <c r="N17" s="2">
        <f>MONTH(Table1[[#This Row],[Order Date]])</f>
        <v>6</v>
      </c>
      <c r="O17" s="2">
        <f>YEAR(Table1[[#This Row],[Order Date]])</f>
        <v>2026</v>
      </c>
      <c r="P17" s="3" t="str">
        <f>IF(Table1[[#This Row],[Total]]&gt;1000,"It is target","It is not target")</f>
        <v>It is target</v>
      </c>
    </row>
    <row r="18" spans="3:16" ht="16.5" customHeight="1" x14ac:dyDescent="0.25">
      <c r="C18" s="2" t="s">
        <v>52</v>
      </c>
      <c r="D18" s="2" t="s">
        <v>56</v>
      </c>
      <c r="E18" s="2" t="s">
        <v>31</v>
      </c>
      <c r="F18" s="2" t="s">
        <v>20</v>
      </c>
      <c r="G18" s="2" t="s">
        <v>21</v>
      </c>
      <c r="H18" s="2">
        <v>18</v>
      </c>
      <c r="I18" s="3">
        <v>227.19555555555601</v>
      </c>
      <c r="J18" s="8">
        <v>2592.2609696969698</v>
      </c>
      <c r="K18" s="4">
        <v>46233</v>
      </c>
      <c r="L18" s="2" t="s">
        <v>16</v>
      </c>
      <c r="M18" s="9">
        <f>Table1[[#This Row],[Quantity]]*Table1[[#This Row],[Unit Price]]</f>
        <v>4089.5200000000082</v>
      </c>
      <c r="N18" s="2">
        <f>MONTH(Table1[[#This Row],[Order Date]])</f>
        <v>7</v>
      </c>
      <c r="O18" s="2">
        <f>YEAR(Table1[[#This Row],[Order Date]])</f>
        <v>2026</v>
      </c>
      <c r="P18" s="3" t="str">
        <f>IF(Table1[[#This Row],[Total]]&gt;1000,"It is target","It is not target")</f>
        <v>It is target</v>
      </c>
    </row>
    <row r="19" spans="3:16" x14ac:dyDescent="0.25">
      <c r="C19" s="2"/>
      <c r="H19" s="2"/>
    </row>
    <row r="20" spans="3:16" x14ac:dyDescent="0.25">
      <c r="C20" s="2"/>
    </row>
    <row r="21" spans="3:16" x14ac:dyDescent="0.25">
      <c r="C21" s="2"/>
    </row>
  </sheetData>
  <mergeCells count="1">
    <mergeCell ref="C1:P1"/>
  </mergeCells>
  <phoneticPr fontId="2" type="noConversion"/>
  <conditionalFormatting sqref="P4:P18">
    <cfRule type="cellIs" dxfId="10" priority="2" operator="equal">
      <formula>"It is target"</formula>
    </cfRule>
    <cfRule type="cellIs" dxfId="9" priority="3" operator="equal">
      <formula>"It is not target"</formula>
    </cfRule>
  </conditionalFormatting>
  <conditionalFormatting sqref="H4:H18">
    <cfRule type="cellIs" dxfId="8" priority="1" operator="lessThan">
      <formula>7</formula>
    </cfRule>
  </conditionalFormatting>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anchor moveWithCells="1">
                  <from>
                    <xdr:col>7</xdr:col>
                    <xdr:colOff>561975</xdr:colOff>
                    <xdr:row>16</xdr:row>
                    <xdr:rowOff>0</xdr:rowOff>
                  </from>
                  <to>
                    <xdr:col>7</xdr:col>
                    <xdr:colOff>1133475</xdr:colOff>
                    <xdr:row>17</xdr:row>
                    <xdr:rowOff>28575</xdr:rowOff>
                  </to>
                </anchor>
              </controlPr>
            </control>
          </mc:Choice>
        </mc:AlternateContent>
      </controls>
    </mc:Choice>
  </mc:AlternateContent>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68BF8-228B-46EF-ABD4-89EE03BC5E3A}">
  <sheetPr>
    <tabColor theme="6"/>
  </sheetPr>
  <dimension ref="B3:C9"/>
  <sheetViews>
    <sheetView rightToLeft="1" workbookViewId="0">
      <selection activeCell="E19" sqref="E19"/>
    </sheetView>
  </sheetViews>
  <sheetFormatPr defaultRowHeight="15" x14ac:dyDescent="0.25"/>
  <cols>
    <col min="2" max="2" width="13.140625" bestFit="1" customWidth="1"/>
    <col min="3" max="3" width="12" bestFit="1" customWidth="1"/>
  </cols>
  <sheetData>
    <row r="3" spans="2:3" x14ac:dyDescent="0.25">
      <c r="B3" s="5" t="s">
        <v>62</v>
      </c>
      <c r="C3" t="s">
        <v>65</v>
      </c>
    </row>
    <row r="4" spans="2:3" x14ac:dyDescent="0.25">
      <c r="B4" s="6" t="s">
        <v>22</v>
      </c>
      <c r="C4" s="10">
        <v>3401.6322424242398</v>
      </c>
    </row>
    <row r="5" spans="2:3" x14ac:dyDescent="0.25">
      <c r="B5" s="6" t="s">
        <v>45</v>
      </c>
      <c r="C5" s="10">
        <v>2703.84</v>
      </c>
    </row>
    <row r="6" spans="2:3" x14ac:dyDescent="0.25">
      <c r="B6" s="6" t="s">
        <v>16</v>
      </c>
      <c r="C6" s="10">
        <v>7099.1836363636394</v>
      </c>
    </row>
    <row r="7" spans="2:3" x14ac:dyDescent="0.25">
      <c r="B7" s="6" t="s">
        <v>41</v>
      </c>
      <c r="C7" s="10">
        <v>3251.7</v>
      </c>
    </row>
    <row r="8" spans="2:3" x14ac:dyDescent="0.25">
      <c r="B8" s="6" t="s">
        <v>25</v>
      </c>
      <c r="C8" s="10">
        <v>10183.55321212122</v>
      </c>
    </row>
    <row r="9" spans="2:3" x14ac:dyDescent="0.25">
      <c r="B9" s="6" t="s">
        <v>63</v>
      </c>
      <c r="C9" s="7">
        <v>26639.909090909096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71001-D7B5-4A4D-8F73-FE77815E5AFE}">
  <sheetPr>
    <tabColor rgb="FF7030A0"/>
  </sheetPr>
  <dimension ref="B2:C20"/>
  <sheetViews>
    <sheetView rightToLeft="1" workbookViewId="0">
      <selection activeCell="I32" sqref="I32"/>
    </sheetView>
  </sheetViews>
  <sheetFormatPr defaultRowHeight="15" x14ac:dyDescent="0.25"/>
  <cols>
    <col min="2" max="2" width="13.140625" bestFit="1" customWidth="1"/>
    <col min="3" max="3" width="12" bestFit="1" customWidth="1"/>
  </cols>
  <sheetData>
    <row r="2" spans="2:3" x14ac:dyDescent="0.25">
      <c r="B2" s="5" t="s">
        <v>62</v>
      </c>
      <c r="C2" t="s">
        <v>65</v>
      </c>
    </row>
    <row r="3" spans="2:3" x14ac:dyDescent="0.25">
      <c r="B3" s="6" t="s">
        <v>66</v>
      </c>
      <c r="C3" s="7"/>
    </row>
    <row r="4" spans="2:3" x14ac:dyDescent="0.25">
      <c r="B4" s="11" t="s">
        <v>67</v>
      </c>
      <c r="C4" s="7"/>
    </row>
    <row r="5" spans="2:3" x14ac:dyDescent="0.25">
      <c r="B5" s="12" t="s">
        <v>68</v>
      </c>
      <c r="C5" s="7">
        <v>1121.94</v>
      </c>
    </row>
    <row r="6" spans="2:3" x14ac:dyDescent="0.25">
      <c r="B6" s="12" t="s">
        <v>69</v>
      </c>
      <c r="C6" s="7">
        <v>288.18</v>
      </c>
    </row>
    <row r="7" spans="2:3" x14ac:dyDescent="0.25">
      <c r="B7" s="11" t="s">
        <v>70</v>
      </c>
      <c r="C7" s="7"/>
    </row>
    <row r="8" spans="2:3" x14ac:dyDescent="0.25">
      <c r="B8" s="12" t="s">
        <v>71</v>
      </c>
      <c r="C8" s="7">
        <v>1713.04</v>
      </c>
    </row>
    <row r="9" spans="2:3" x14ac:dyDescent="0.25">
      <c r="B9" s="12" t="s">
        <v>72</v>
      </c>
      <c r="C9" s="7">
        <v>2373.66</v>
      </c>
    </row>
    <row r="10" spans="2:3" x14ac:dyDescent="0.25">
      <c r="B10" s="12" t="s">
        <v>73</v>
      </c>
      <c r="C10" s="7">
        <v>1037.96</v>
      </c>
    </row>
    <row r="11" spans="2:3" x14ac:dyDescent="0.25">
      <c r="B11" s="11" t="s">
        <v>74</v>
      </c>
      <c r="C11" s="7">
        <v>4343.92</v>
      </c>
    </row>
    <row r="12" spans="2:3" x14ac:dyDescent="0.25">
      <c r="B12" s="6" t="s">
        <v>75</v>
      </c>
      <c r="C12" s="7"/>
    </row>
    <row r="13" spans="2:3" x14ac:dyDescent="0.25">
      <c r="B13" s="11" t="s">
        <v>76</v>
      </c>
      <c r="C13" s="7">
        <v>6091.8226666666706</v>
      </c>
    </row>
    <row r="14" spans="2:3" x14ac:dyDescent="0.25">
      <c r="B14" s="11" t="s">
        <v>67</v>
      </c>
      <c r="C14" s="7"/>
    </row>
    <row r="15" spans="2:3" x14ac:dyDescent="0.25">
      <c r="B15" s="12" t="s">
        <v>77</v>
      </c>
      <c r="C15" s="7">
        <v>2242.43224242424</v>
      </c>
    </row>
    <row r="16" spans="2:3" x14ac:dyDescent="0.25">
      <c r="B16" s="12" t="s">
        <v>68</v>
      </c>
      <c r="C16" s="7">
        <v>2359.04181818182</v>
      </c>
    </row>
    <row r="17" spans="2:3" x14ac:dyDescent="0.25">
      <c r="B17" s="12" t="s">
        <v>69</v>
      </c>
      <c r="C17" s="7">
        <v>2475.6513939393999</v>
      </c>
    </row>
    <row r="18" spans="2:3" x14ac:dyDescent="0.25">
      <c r="B18" s="11" t="s">
        <v>70</v>
      </c>
      <c r="C18" s="7"/>
    </row>
    <row r="19" spans="2:3" x14ac:dyDescent="0.25">
      <c r="B19" s="12" t="s">
        <v>71</v>
      </c>
      <c r="C19" s="7">
        <v>2592.2609696969698</v>
      </c>
    </row>
    <row r="20" spans="2:3" x14ac:dyDescent="0.25">
      <c r="B20" s="6" t="s">
        <v>63</v>
      </c>
      <c r="C20" s="7">
        <v>26639.909090909096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8CE50-FA98-498F-994B-2E4B2DDE5706}">
  <sheetPr>
    <tabColor theme="7" tint="0.39997558519241921"/>
  </sheetPr>
  <dimension ref="B2:C6"/>
  <sheetViews>
    <sheetView rightToLeft="1" workbookViewId="0">
      <selection activeCell="B5" sqref="B5"/>
    </sheetView>
  </sheetViews>
  <sheetFormatPr defaultRowHeight="15" x14ac:dyDescent="0.25"/>
  <cols>
    <col min="2" max="2" width="13.140625" bestFit="1" customWidth="1"/>
    <col min="3" max="3" width="12" bestFit="1" customWidth="1"/>
  </cols>
  <sheetData>
    <row r="2" spans="2:3" x14ac:dyDescent="0.25">
      <c r="B2" s="5" t="s">
        <v>62</v>
      </c>
      <c r="C2" t="s">
        <v>65</v>
      </c>
    </row>
    <row r="3" spans="2:3" x14ac:dyDescent="0.25">
      <c r="B3" s="6" t="s">
        <v>15</v>
      </c>
      <c r="C3" s="10">
        <v>11285.844484848491</v>
      </c>
    </row>
    <row r="4" spans="2:3" x14ac:dyDescent="0.25">
      <c r="B4" s="6" t="s">
        <v>35</v>
      </c>
      <c r="C4" s="10">
        <v>4343.92</v>
      </c>
    </row>
    <row r="5" spans="2:3" x14ac:dyDescent="0.25">
      <c r="B5" s="6" t="s">
        <v>21</v>
      </c>
      <c r="C5" s="10">
        <v>11010.14460606061</v>
      </c>
    </row>
    <row r="6" spans="2:3" x14ac:dyDescent="0.25">
      <c r="B6" s="6" t="s">
        <v>63</v>
      </c>
      <c r="C6" s="7">
        <v>26639.909090909096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004C2-4009-4BDA-9DAA-96ED205FA85E}">
  <sheetPr>
    <tabColor theme="1"/>
    <pageSetUpPr fitToPage="1"/>
  </sheetPr>
  <dimension ref="A1:V2"/>
  <sheetViews>
    <sheetView showGridLines="0" rightToLeft="1" tabSelected="1" zoomScale="77" zoomScaleNormal="77" workbookViewId="0">
      <selection activeCell="AC1" sqref="AB1:AC2"/>
    </sheetView>
  </sheetViews>
  <sheetFormatPr defaultRowHeight="15" x14ac:dyDescent="0.25"/>
  <sheetData>
    <row r="1" spans="1:22" ht="3" customHeight="1" x14ac:dyDescent="0.25"/>
    <row r="2" spans="1:22" ht="50.25" customHeight="1" thickBot="1" x14ac:dyDescent="0.55000000000000004">
      <c r="A2" s="14" t="s">
        <v>78</v>
      </c>
      <c r="B2" s="14"/>
      <c r="C2" s="14"/>
      <c r="D2" s="14"/>
      <c r="E2" s="14"/>
      <c r="F2" s="14"/>
      <c r="G2" s="14"/>
      <c r="H2" s="14"/>
      <c r="I2" s="14"/>
      <c r="J2" s="14"/>
      <c r="K2" s="14"/>
      <c r="L2" s="14"/>
      <c r="M2" s="14"/>
      <c r="N2" s="14"/>
      <c r="O2" s="14"/>
      <c r="P2" s="14"/>
      <c r="Q2" s="14"/>
      <c r="R2" s="14"/>
      <c r="S2" s="14"/>
      <c r="T2" s="14"/>
      <c r="U2" s="14"/>
      <c r="V2" s="14"/>
    </row>
  </sheetData>
  <mergeCells count="1">
    <mergeCell ref="A2:V2"/>
  </mergeCells>
  <pageMargins left="1" right="1.75" top="4.75" bottom="0" header="0.5" footer="0.5"/>
  <pageSetup paperSize="2" scale="28"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9D3B8-6E7A-47C2-94CC-E0DDE18EE06A}">
  <sheetPr>
    <tabColor theme="4" tint="-0.249977111117893"/>
  </sheetPr>
  <dimension ref="B3:C9"/>
  <sheetViews>
    <sheetView rightToLeft="1" workbookViewId="0">
      <selection activeCell="G6" sqref="G6"/>
    </sheetView>
  </sheetViews>
  <sheetFormatPr defaultRowHeight="15" x14ac:dyDescent="0.25"/>
  <cols>
    <col min="2" max="2" width="13.140625" bestFit="1" customWidth="1"/>
    <col min="3" max="3" width="15.42578125" bestFit="1" customWidth="1"/>
  </cols>
  <sheetData>
    <row r="3" spans="2:3" x14ac:dyDescent="0.25">
      <c r="B3" s="5" t="s">
        <v>62</v>
      </c>
      <c r="C3" t="s">
        <v>64</v>
      </c>
    </row>
    <row r="4" spans="2:3" x14ac:dyDescent="0.25">
      <c r="B4" s="6" t="s">
        <v>38</v>
      </c>
      <c r="C4" s="7">
        <v>14</v>
      </c>
    </row>
    <row r="5" spans="2:3" x14ac:dyDescent="0.25">
      <c r="B5" s="6" t="s">
        <v>44</v>
      </c>
      <c r="C5" s="7">
        <v>8</v>
      </c>
    </row>
    <row r="6" spans="2:3" x14ac:dyDescent="0.25">
      <c r="B6" s="6" t="s">
        <v>34</v>
      </c>
      <c r="C6" s="7">
        <v>9</v>
      </c>
    </row>
    <row r="7" spans="2:3" x14ac:dyDescent="0.25">
      <c r="B7" s="6" t="s">
        <v>14</v>
      </c>
      <c r="C7" s="7">
        <v>39</v>
      </c>
    </row>
    <row r="8" spans="2:3" x14ac:dyDescent="0.25">
      <c r="B8" s="6" t="s">
        <v>20</v>
      </c>
      <c r="C8" s="7">
        <v>51</v>
      </c>
    </row>
    <row r="9" spans="2:3" x14ac:dyDescent="0.25">
      <c r="B9" s="6" t="s">
        <v>63</v>
      </c>
      <c r="C9" s="7">
        <v>121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vt:lpstr>
      <vt:lpstr>Sales Anlysis by seller</vt:lpstr>
      <vt:lpstr>Sales Anlysis by months</vt:lpstr>
      <vt:lpstr>Sales Anlysis by category</vt:lpstr>
      <vt:lpstr>Dashbord</vt:lpstr>
      <vt:lpstr>Sales Anlysis by 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esraa_yaser</dc:creator>
  <cp:lastModifiedBy>neromax2021@gmail.com</cp:lastModifiedBy>
  <cp:lastPrinted>2025-08-02T00:36:06Z</cp:lastPrinted>
  <dcterms:created xsi:type="dcterms:W3CDTF">2015-06-05T18:17:20Z</dcterms:created>
  <dcterms:modified xsi:type="dcterms:W3CDTF">2025-08-02T00:38:54Z</dcterms:modified>
</cp:coreProperties>
</file>