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drawings/drawing4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pivotTables/pivotTable4.xml" ContentType="application/vnd.openxmlformats-officedocument.spreadsheetml.pivotTable+xml"/>
  <Override PartName="/xl/drawings/drawing6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hidePivotFieldList="1"/>
  <mc:AlternateContent xmlns:mc="http://schemas.openxmlformats.org/markup-compatibility/2006">
    <mc:Choice Requires="x15">
      <x15ac:absPath xmlns:x15ac="http://schemas.microsoft.com/office/spreadsheetml/2010/11/ac" url="E:\Esso\Excel course\Project 1\"/>
    </mc:Choice>
  </mc:AlternateContent>
  <xr:revisionPtr revIDLastSave="0" documentId="13_ncr:1_{281D3E1B-CB5C-4C2D-AD81-1EED60811233}" xr6:coauthVersionLast="47" xr6:coauthVersionMax="47" xr10:uidLastSave="{00000000-0000-0000-0000-000000000000}"/>
  <bookViews>
    <workbookView xWindow="-120" yWindow="-120" windowWidth="20730" windowHeight="11160" firstSheet="2" activeTab="4" xr2:uid="{00000000-000D-0000-FFFF-FFFF00000000}"/>
  </bookViews>
  <sheets>
    <sheet name="Main" sheetId="2" r:id="rId1"/>
    <sheet name="Sales Anlysis by seller" sheetId="6" r:id="rId2"/>
    <sheet name="Sales Anlysis by months" sheetId="7" r:id="rId3"/>
    <sheet name="Sales Anlysis by category" sheetId="5" r:id="rId4"/>
    <sheet name="Dashbord" sheetId="8" r:id="rId5"/>
    <sheet name="Sales Anlysis by product" sheetId="3" r:id="rId6"/>
  </sheets>
  <definedNames>
    <definedName name="_xlcn.WorksheetConnection_Project1.xlsxTable11" hidden="1">Table1[]</definedName>
  </definedNames>
  <calcPr calcId="181029"/>
  <pivotCaches>
    <pivotCache cacheId="42" r:id="rId7"/>
    <pivotCache cacheId="45" r:id="rId8"/>
    <pivotCache cacheId="96" r:id="rId9"/>
    <pivotCache cacheId="99" r:id="rId10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1" name="Table1" connection="WorksheetConnection_Project 1.xlsx!Table1"/>
        </x15:modelTables>
        <x15:extLst>
          <ext xmlns:x16="http://schemas.microsoft.com/office/spreadsheetml/2014/11/main" uri="{9835A34E-60A6-4A7C-AAB8-D5F71C897F49}">
            <x16:modelTimeGroupings>
              <x16:modelTimeGrouping tableName="Table1" columnName="Order Date" columnId="Order Date">
                <x16:calculatedTimeColumn columnName="Order Date (Year)" columnId="Order Date (Year)" contentType="years" isSelected="1"/>
                <x16:calculatedTimeColumn columnName="Order Date (Quarter)" columnId="Order Date (Quarter)" contentType="quarters" isSelected="1"/>
                <x16:calculatedTimeColumn columnName="Order Date (Month Index)" columnId="Order Date (Month Index)" contentType="monthsindex" isSelected="1"/>
                <x16:calculatedTimeColumn columnName="Order Date (Month)" columnId="Order Date (Month)" contentType="months" isSelected="1"/>
              </x16:modelTimeGrouping>
            </x16:modelTimeGroupings>
          </ext>
        </x15:extLst>
      </x15:dataModel>
    </ext>
  </extLst>
</workbook>
</file>

<file path=xl/calcChain.xml><?xml version="1.0" encoding="utf-8"?>
<calcChain xmlns="http://schemas.openxmlformats.org/spreadsheetml/2006/main">
  <c r="P4" i="2" l="1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13AD053-7888-466B-B7EA-EAC2D046278C}" keepAlive="1" name="ThisWorkbookDataModel" description="Data Model" type="5" refreshedVersion="7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83D904C3-5770-4B17-B2D1-DB4F449E94C2}" name="WorksheetConnection_Project 1.xlsx!Table1" type="102" refreshedVersion="7" minRefreshableVersion="5">
    <extLst>
      <ext xmlns:x15="http://schemas.microsoft.com/office/spreadsheetml/2010/11/main" uri="{DE250136-89BD-433C-8126-D09CA5730AF9}">
        <x15:connection id="Table1" autoDelete="1">
          <x15:rangePr sourceName="_xlcn.WorksheetConnection_Project1.xlsxTable11"/>
        </x15:connection>
      </ext>
    </extLst>
  </connection>
</connections>
</file>

<file path=xl/sharedStrings.xml><?xml version="1.0" encoding="utf-8"?>
<sst xmlns="http://schemas.openxmlformats.org/spreadsheetml/2006/main" count="147" uniqueCount="78">
  <si>
    <t>Order ID</t>
  </si>
  <si>
    <t>Customer</t>
  </si>
  <si>
    <t>Region</t>
  </si>
  <si>
    <t>Product</t>
  </si>
  <si>
    <t>Category</t>
  </si>
  <si>
    <t>Quantity</t>
  </si>
  <si>
    <t>Unit Price</t>
  </si>
  <si>
    <t>Total</t>
  </si>
  <si>
    <t>Order Date</t>
  </si>
  <si>
    <t>Sales Rep</t>
  </si>
  <si>
    <t>Rose</t>
  </si>
  <si>
    <t>ORD0001</t>
  </si>
  <si>
    <t>David George</t>
  </si>
  <si>
    <t>Giza</t>
  </si>
  <si>
    <t>Scarf</t>
  </si>
  <si>
    <t>Accessories</t>
  </si>
  <si>
    <t>Mohamed</t>
  </si>
  <si>
    <t>ORD0002</t>
  </si>
  <si>
    <t>Jessica Pierce</t>
  </si>
  <si>
    <t>Cairo</t>
  </si>
  <si>
    <t>Sneakers</t>
  </si>
  <si>
    <t>Footwear</t>
  </si>
  <si>
    <t>Ali</t>
  </si>
  <si>
    <t>ORD0003</t>
  </si>
  <si>
    <t>Michelle Ferguson</t>
  </si>
  <si>
    <t>Youssef</t>
  </si>
  <si>
    <t>ORD0004</t>
  </si>
  <si>
    <t>Brady Miles</t>
  </si>
  <si>
    <t>Mansoura</t>
  </si>
  <si>
    <t>ORD0005</t>
  </si>
  <si>
    <t>Mrs. Samantha Newton</t>
  </si>
  <si>
    <t>Alexandria</t>
  </si>
  <si>
    <t>ORD0006</t>
  </si>
  <si>
    <t>Michael Allen</t>
  </si>
  <si>
    <t>Jacket</t>
  </si>
  <si>
    <t>Clothing</t>
  </si>
  <si>
    <t>ORD0007</t>
  </si>
  <si>
    <t>Manuel Guerra</t>
  </si>
  <si>
    <t>Dress</t>
  </si>
  <si>
    <t>ORD0008</t>
  </si>
  <si>
    <t>Misty Huber</t>
  </si>
  <si>
    <t>Sara</t>
  </si>
  <si>
    <t>ORD0009</t>
  </si>
  <si>
    <t>Kimberly Jones</t>
  </si>
  <si>
    <t>Hat</t>
  </si>
  <si>
    <t>Dina</t>
  </si>
  <si>
    <t>ORD0010</t>
  </si>
  <si>
    <t>Cole Cline</t>
  </si>
  <si>
    <t>ORD0011</t>
  </si>
  <si>
    <t>ORD0012</t>
  </si>
  <si>
    <t>ORD0013</t>
  </si>
  <si>
    <t>ORD0014</t>
  </si>
  <si>
    <t>ORD0015</t>
  </si>
  <si>
    <t>Jack Dosen</t>
  </si>
  <si>
    <t>Halk</t>
  </si>
  <si>
    <t>Tony Starck</t>
  </si>
  <si>
    <t>Paper starck</t>
  </si>
  <si>
    <t>Customer Information</t>
  </si>
  <si>
    <t>Total2</t>
  </si>
  <si>
    <t xml:space="preserve">Month </t>
  </si>
  <si>
    <t>Year</t>
  </si>
  <si>
    <t>Target</t>
  </si>
  <si>
    <t>Row Labels</t>
  </si>
  <si>
    <t>Grand Total</t>
  </si>
  <si>
    <t>Sum of Quantity</t>
  </si>
  <si>
    <t>Sum of Total</t>
  </si>
  <si>
    <t>2025</t>
  </si>
  <si>
    <t>Qtr2</t>
  </si>
  <si>
    <t>May</t>
  </si>
  <si>
    <t>Jun</t>
  </si>
  <si>
    <t>Qtr3</t>
  </si>
  <si>
    <t>Jul</t>
  </si>
  <si>
    <t>Aug</t>
  </si>
  <si>
    <t>Sep</t>
  </si>
  <si>
    <t>Qtr4</t>
  </si>
  <si>
    <t>2026</t>
  </si>
  <si>
    <t>Qtr1</t>
  </si>
  <si>
    <t>Apr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</si>
</sst>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yyyy\-mm\-dd;@"/>
    <numFmt numFmtId="165" formatCode="0.0"/>
    <numFmt numFmtId="169" formatCode="_([$EGP]\ * #,##0_);_([$EGP]\ * \(#,##0\);_([$EGP]\ * &quot;-&quot;?_);_(@_)"/>
    <numFmt numFmtId="172" formatCode="_([$EGP]\ * #,##0_);_([$EGP]\ * \(#,##0\);_([$EGP]\ * &quot;-&quot;??_);_(@_)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8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/>
        <bgColor theme="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5" fontId="0" fillId="0" borderId="0" xfId="0" applyNumberFormat="1" applyAlignment="1">
      <alignment vertical="center" wrapText="1"/>
    </xf>
    <xf numFmtId="164" fontId="0" fillId="0" borderId="0" xfId="0" applyNumberFormat="1" applyAlignment="1">
      <alignment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0" fillId="0" borderId="0" xfId="0" pivotButton="1"/>
    <xf numFmtId="0" fontId="0" fillId="0" borderId="0" xfId="0" applyAlignment="1">
      <alignment horizontal="right"/>
    </xf>
    <xf numFmtId="0" fontId="0" fillId="0" borderId="0" xfId="0" applyNumberFormat="1"/>
    <xf numFmtId="169" fontId="0" fillId="0" borderId="0" xfId="0" applyNumberFormat="1" applyAlignment="1">
      <alignment vertical="center" wrapText="1"/>
    </xf>
    <xf numFmtId="172" fontId="0" fillId="0" borderId="0" xfId="0" applyNumberFormat="1" applyAlignment="1">
      <alignment vertical="center" wrapText="1"/>
    </xf>
    <xf numFmtId="1" fontId="0" fillId="0" borderId="0" xfId="0" applyNumberFormat="1"/>
    <xf numFmtId="0" fontId="0" fillId="0" borderId="0" xfId="0" applyAlignment="1">
      <alignment horizontal="right" indent="1"/>
    </xf>
    <xf numFmtId="0" fontId="0" fillId="0" borderId="0" xfId="0" applyAlignment="1">
      <alignment horizontal="right" indent="2"/>
    </xf>
  </cellXfs>
  <cellStyles count="1">
    <cellStyle name="Normal" xfId="0" builtinId="0"/>
  </cellStyles>
  <dxfs count="21">
    <dxf>
      <numFmt numFmtId="1" formatCode="0"/>
    </dxf>
    <dxf>
      <numFmt numFmtId="1" formatCode="0"/>
    </dxf>
    <dxf>
      <numFmt numFmtId="172" formatCode="_([$EGP]\ * #,##0_);_([$EGP]\ * \(#,##0\);_([$EGP]\ * &quot;-&quot;??_);_(@_)"/>
      <alignment horizontal="general" vertical="center" textRotation="0" wrapText="1" indent="0" justifyLastLine="0" shrinkToFit="0" readingOrder="0"/>
    </dxf>
    <dxf>
      <numFmt numFmtId="0" formatCode="General"/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numFmt numFmtId="169" formatCode="_([$EGP]\ * #,##0_);_([$EGP]\ * \(#,##0\);_([$EGP]\ * &quot;-&quot;?_);_(@_)"/>
      <alignment horizontal="general" vertical="center" textRotation="0" wrapText="1" indent="0" justifyLastLine="0" shrinkToFit="0" readingOrder="0"/>
    </dxf>
    <dxf>
      <numFmt numFmtId="164" formatCode="yyyy\-mm\-dd;@"/>
      <alignment horizontal="general" vertical="center" textRotation="0" wrapText="1" indent="0" justifyLastLine="0" shrinkToFit="0" readingOrder="0"/>
    </dxf>
    <dxf>
      <numFmt numFmtId="165" formatCode="0.0"/>
      <alignment horizontal="general" vertical="center" textRotation="0" wrapText="1" indent="0" justifyLastLine="0" shrinkToFit="0" readingOrder="0"/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numFmt numFmtId="165" formatCode="0.0"/>
      <alignment horizontal="general" vertical="center" textRotation="0" wrapText="1" indent="0" justifyLastLine="0" shrinkToFit="0" readingOrder="0"/>
    </dxf>
    <dxf>
      <numFmt numFmtId="0" formatCode="General"/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powerPivotData" Target="model/item.data"/><Relationship Id="rId10" Type="http://schemas.openxmlformats.org/officeDocument/2006/relationships/pivotCacheDefinition" Target="pivotCache/pivotCacheDefinition4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3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[Project 1.xlsx]Sales Anlysis by seller!Sales Anlysis by seller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 Anlysis by seller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circle"/>
          <c:size val="6"/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'Sales Anlysis by seller'!$C$3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'Sales Anlysis by seller'!$B$4:$B$9</c:f>
              <c:strCache>
                <c:ptCount val="5"/>
                <c:pt idx="0">
                  <c:v>Ali</c:v>
                </c:pt>
                <c:pt idx="1">
                  <c:v>Dina</c:v>
                </c:pt>
                <c:pt idx="2">
                  <c:v>Mohamed</c:v>
                </c:pt>
                <c:pt idx="3">
                  <c:v>Sara</c:v>
                </c:pt>
                <c:pt idx="4">
                  <c:v>Youssef</c:v>
                </c:pt>
              </c:strCache>
            </c:strRef>
          </c:cat>
          <c:val>
            <c:numRef>
              <c:f>'Sales Anlysis by seller'!$C$4:$C$9</c:f>
              <c:numCache>
                <c:formatCode>0</c:formatCode>
                <c:ptCount val="5"/>
                <c:pt idx="0">
                  <c:v>3401.6322424242398</c:v>
                </c:pt>
                <c:pt idx="1">
                  <c:v>2703.84</c:v>
                </c:pt>
                <c:pt idx="2">
                  <c:v>7099.1836363636394</c:v>
                </c:pt>
                <c:pt idx="3">
                  <c:v>3251.7</c:v>
                </c:pt>
                <c:pt idx="4">
                  <c:v>10183.55321212122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0CD-40C7-9400-1397A27C2877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305349872"/>
        <c:axId val="305350288"/>
      </c:barChart>
      <c:catAx>
        <c:axId val="30534987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5350288"/>
        <c:crosses val="autoZero"/>
        <c:auto val="1"/>
        <c:lblAlgn val="ctr"/>
        <c:lblOffset val="100"/>
        <c:noMultiLvlLbl val="0"/>
      </c:catAx>
      <c:valAx>
        <c:axId val="305350288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53498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[Project 1.xlsx]Sales Anlysis by months!Sales Anlysis by month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Sales Anlysis by months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'Sales Anlysis by months'!$C$2</c:f>
              <c:strCache>
                <c:ptCount val="1"/>
                <c:pt idx="0">
                  <c:v>Total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cat>
            <c:multiLvlStrRef>
              <c:f>'Sales Anlysis by months'!$B$3:$B$20</c:f>
              <c:multiLvlStrCache>
                <c:ptCount val="11"/>
                <c:lvl>
                  <c:pt idx="0">
                    <c:v>May</c:v>
                  </c:pt>
                  <c:pt idx="1">
                    <c:v>Jun</c:v>
                  </c:pt>
                  <c:pt idx="2">
                    <c:v>Jul</c:v>
                  </c:pt>
                  <c:pt idx="3">
                    <c:v>Aug</c:v>
                  </c:pt>
                  <c:pt idx="4">
                    <c:v>Sep</c:v>
                  </c:pt>
                  <c:pt idx="7">
                    <c:v>Apr</c:v>
                  </c:pt>
                  <c:pt idx="8">
                    <c:v>May</c:v>
                  </c:pt>
                  <c:pt idx="9">
                    <c:v>Jun</c:v>
                  </c:pt>
                  <c:pt idx="10">
                    <c:v>Jul</c:v>
                  </c:pt>
                </c:lvl>
                <c:lvl>
                  <c:pt idx="0">
                    <c:v>Qtr2</c:v>
                  </c:pt>
                  <c:pt idx="2">
                    <c:v>Qtr3</c:v>
                  </c:pt>
                  <c:pt idx="5">
                    <c:v>Qtr4</c:v>
                  </c:pt>
                  <c:pt idx="6">
                    <c:v>Qtr1</c:v>
                  </c:pt>
                  <c:pt idx="7">
                    <c:v>Qtr2</c:v>
                  </c:pt>
                  <c:pt idx="10">
                    <c:v>Qtr3</c:v>
                  </c:pt>
                </c:lvl>
                <c:lvl>
                  <c:pt idx="0">
                    <c:v>2025</c:v>
                  </c:pt>
                  <c:pt idx="6">
                    <c:v>2026</c:v>
                  </c:pt>
                </c:lvl>
              </c:multiLvlStrCache>
            </c:multiLvlStrRef>
          </c:cat>
          <c:val>
            <c:numRef>
              <c:f>'Sales Anlysis by months'!$C$3:$C$20</c:f>
              <c:numCache>
                <c:formatCode>General</c:formatCode>
                <c:ptCount val="11"/>
                <c:pt idx="0">
                  <c:v>1121.94</c:v>
                </c:pt>
                <c:pt idx="1">
                  <c:v>288.18</c:v>
                </c:pt>
                <c:pt idx="2">
                  <c:v>1713.04</c:v>
                </c:pt>
                <c:pt idx="3">
                  <c:v>2373.66</c:v>
                </c:pt>
                <c:pt idx="4">
                  <c:v>1037.96</c:v>
                </c:pt>
                <c:pt idx="5">
                  <c:v>4343.92</c:v>
                </c:pt>
                <c:pt idx="6">
                  <c:v>6091.8226666666706</c:v>
                </c:pt>
                <c:pt idx="7">
                  <c:v>2242.43224242424</c:v>
                </c:pt>
                <c:pt idx="8">
                  <c:v>2359.04181818182</c:v>
                </c:pt>
                <c:pt idx="9">
                  <c:v>2475.6513939393999</c:v>
                </c:pt>
                <c:pt idx="10">
                  <c:v>2592.2609696969698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D85-809F-73A790B674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81489312"/>
        <c:axId val="981488896"/>
      </c:lineChart>
      <c:catAx>
        <c:axId val="98148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1488896"/>
        <c:crosses val="autoZero"/>
        <c:auto val="1"/>
        <c:lblAlgn val="ctr"/>
        <c:lblOffset val="100"/>
        <c:noMultiLvlLbl val="0"/>
      </c:catAx>
      <c:valAx>
        <c:axId val="981488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148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[Project 1.xlsx]Sales Anlysis by category!Sales Anlysis by category</c:name>
    <c:fmtId val="1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 Anlysis by category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circle"/>
          <c:size val="6"/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'Sales Anlysis by category'!$C$2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'Sales Anlysis by category'!$B$3:$B$6</c:f>
              <c:strCache>
                <c:ptCount val="3"/>
                <c:pt idx="0">
                  <c:v>Accessories</c:v>
                </c:pt>
                <c:pt idx="1">
                  <c:v>Clothing</c:v>
                </c:pt>
                <c:pt idx="2">
                  <c:v>Footwear</c:v>
                </c:pt>
              </c:strCache>
            </c:strRef>
          </c:cat>
          <c:val>
            <c:numRef>
              <c:f>'Sales Anlysis by category'!$C$3:$C$6</c:f>
              <c:numCache>
                <c:formatCode>0</c:formatCode>
                <c:ptCount val="3"/>
                <c:pt idx="0">
                  <c:v>11285.844484848491</c:v>
                </c:pt>
                <c:pt idx="1">
                  <c:v>4343.92</c:v>
                </c:pt>
                <c:pt idx="2">
                  <c:v>11010.14460606061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6D8-4F6D-93D5-76372514CFB3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983208160"/>
        <c:axId val="983208576"/>
      </c:barChart>
      <c:catAx>
        <c:axId val="9832081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3208576"/>
        <c:crosses val="autoZero"/>
        <c:auto val="1"/>
        <c:lblAlgn val="ctr"/>
        <c:lblOffset val="100"/>
        <c:noMultiLvlLbl val="0"/>
      </c:catAx>
      <c:valAx>
        <c:axId val="983208576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crossAx val="9832081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[Project 1.xlsx]Sales Anlysis by product!Sales Anlysis by product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Sales Anlysis by product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</c:pivotFmt>
      <c:pivotFmt>
        <c:idx val="3"/>
      </c:pivotFmt>
      <c:pivotFmt>
        <c:idx val="4"/>
      </c:pivotFmt>
      <c:pivotFmt>
        <c:idx val="5"/>
      </c:pivotFmt>
      <c:pivotFmt>
        <c:idx val="6"/>
      </c:pivotFmt>
      <c:pivotFmt>
        <c:idx val="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9"/>
        <c:spPr>
          <a:gradFill rotWithShape="1">
            <a:gsLst>
              <a:gs pos="0">
                <a:schemeClr val="accent2">
                  <a:satMod val="103000"/>
                  <a:lumMod val="102000"/>
                  <a:tint val="94000"/>
                </a:schemeClr>
              </a:gs>
              <a:gs pos="50000">
                <a:schemeClr val="accent2">
                  <a:satMod val="110000"/>
                  <a:lumMod val="100000"/>
                  <a:shade val="100000"/>
                </a:schemeClr>
              </a:gs>
              <a:gs pos="100000">
                <a:schemeClr val="accent2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10"/>
        <c:spPr>
          <a:gradFill rotWithShape="1">
            <a:gsLst>
              <a:gs pos="0">
                <a:schemeClr val="accent3">
                  <a:satMod val="103000"/>
                  <a:lumMod val="102000"/>
                  <a:tint val="94000"/>
                </a:schemeClr>
              </a:gs>
              <a:gs pos="50000">
                <a:schemeClr val="accent3">
                  <a:satMod val="110000"/>
                  <a:lumMod val="100000"/>
                  <a:shade val="100000"/>
                </a:schemeClr>
              </a:gs>
              <a:gs pos="100000">
                <a:schemeClr val="accent3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11"/>
        <c:spPr>
          <a:gradFill rotWithShape="1">
            <a:gsLst>
              <a:gs pos="0">
                <a:schemeClr val="accent4">
                  <a:satMod val="103000"/>
                  <a:lumMod val="102000"/>
                  <a:tint val="94000"/>
                </a:schemeClr>
              </a:gs>
              <a:gs pos="50000">
                <a:schemeClr val="accent4">
                  <a:satMod val="110000"/>
                  <a:lumMod val="100000"/>
                  <a:shade val="100000"/>
                </a:schemeClr>
              </a:gs>
              <a:gs pos="100000">
                <a:schemeClr val="accent4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12"/>
        <c:spPr>
          <a:gradFill rotWithShape="1">
            <a:gsLst>
              <a:gs pos="0">
                <a:schemeClr val="accent5">
                  <a:satMod val="103000"/>
                  <a:lumMod val="102000"/>
                  <a:tint val="94000"/>
                </a:schemeClr>
              </a:gs>
              <a:gs pos="50000">
                <a:schemeClr val="accent5">
                  <a:satMod val="110000"/>
                  <a:lumMod val="100000"/>
                  <a:shade val="100000"/>
                </a:schemeClr>
              </a:gs>
              <a:gs pos="100000">
                <a:schemeClr val="accent5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'Sales Anlysis by product'!$C$3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7600-4B7F-BDBA-C4C8DF6209B7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7600-4B7F-BDBA-C4C8DF6209B7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7600-4B7F-BDBA-C4C8DF6209B7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7600-4B7F-BDBA-C4C8DF6209B7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7600-4B7F-BDBA-C4C8DF6209B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'Sales Anlysis by product'!$B$4:$B$9</c:f>
              <c:strCache>
                <c:ptCount val="5"/>
                <c:pt idx="0">
                  <c:v>Dress</c:v>
                </c:pt>
                <c:pt idx="1">
                  <c:v>Hat</c:v>
                </c:pt>
                <c:pt idx="2">
                  <c:v>Jacket</c:v>
                </c:pt>
                <c:pt idx="3">
                  <c:v>Scarf</c:v>
                </c:pt>
                <c:pt idx="4">
                  <c:v>Sneakers</c:v>
                </c:pt>
              </c:strCache>
            </c:strRef>
          </c:cat>
          <c:val>
            <c:numRef>
              <c:f>'Sales Anlysis by product'!$C$4:$C$9</c:f>
              <c:numCache>
                <c:formatCode>General</c:formatCode>
                <c:ptCount val="5"/>
                <c:pt idx="0">
                  <c:v>14</c:v>
                </c:pt>
                <c:pt idx="1">
                  <c:v>8</c:v>
                </c:pt>
                <c:pt idx="2">
                  <c:v>9</c:v>
                </c:pt>
                <c:pt idx="3">
                  <c:v>39</c:v>
                </c:pt>
                <c:pt idx="4">
                  <c:v>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7600-4B7F-BDBA-C4C8DF6209B7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[Project 1.xlsx]Sales Anlysis by category!Sales Anlysis by category</c:name>
    <c:fmtId val="1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 Anlysis by category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circle"/>
          <c:size val="6"/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'Sales Anlysis by category'!$C$2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'Sales Anlysis by category'!$B$3:$B$6</c:f>
              <c:strCache>
                <c:ptCount val="3"/>
                <c:pt idx="0">
                  <c:v>Accessories</c:v>
                </c:pt>
                <c:pt idx="1">
                  <c:v>Clothing</c:v>
                </c:pt>
                <c:pt idx="2">
                  <c:v>Footwear</c:v>
                </c:pt>
              </c:strCache>
            </c:strRef>
          </c:cat>
          <c:val>
            <c:numRef>
              <c:f>'Sales Anlysis by category'!$C$3:$C$6</c:f>
              <c:numCache>
                <c:formatCode>0</c:formatCode>
                <c:ptCount val="3"/>
                <c:pt idx="0">
                  <c:v>11285.844484848491</c:v>
                </c:pt>
                <c:pt idx="1">
                  <c:v>4343.92</c:v>
                </c:pt>
                <c:pt idx="2">
                  <c:v>11010.14460606061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19-4BD9-95D1-52E1E7D35239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983208160"/>
        <c:axId val="983208576"/>
      </c:barChart>
      <c:catAx>
        <c:axId val="9832081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3208576"/>
        <c:crosses val="autoZero"/>
        <c:auto val="1"/>
        <c:lblAlgn val="ctr"/>
        <c:lblOffset val="100"/>
        <c:noMultiLvlLbl val="0"/>
      </c:catAx>
      <c:valAx>
        <c:axId val="983208576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crossAx val="9832081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[Project 1.xlsx]Sales Anlysis by seller!Sales Anlysis by seller</c:name>
    <c:fmtId val="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 Anlysis by seller</a:t>
            </a:r>
          </a:p>
        </c:rich>
      </c:tx>
      <c:layout>
        <c:manualLayout>
          <c:xMode val="edge"/>
          <c:yMode val="edge"/>
          <c:x val="0.34914235305649033"/>
          <c:y val="0.1147200349956255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circle"/>
          <c:size val="6"/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'Sales Anlysis by seller'!$C$3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'Sales Anlysis by seller'!$B$4:$B$9</c:f>
              <c:strCache>
                <c:ptCount val="5"/>
                <c:pt idx="0">
                  <c:v>Ali</c:v>
                </c:pt>
                <c:pt idx="1">
                  <c:v>Dina</c:v>
                </c:pt>
                <c:pt idx="2">
                  <c:v>Mohamed</c:v>
                </c:pt>
                <c:pt idx="3">
                  <c:v>Sara</c:v>
                </c:pt>
                <c:pt idx="4">
                  <c:v>Youssef</c:v>
                </c:pt>
              </c:strCache>
            </c:strRef>
          </c:cat>
          <c:val>
            <c:numRef>
              <c:f>'Sales Anlysis by seller'!$C$4:$C$9</c:f>
              <c:numCache>
                <c:formatCode>0</c:formatCode>
                <c:ptCount val="5"/>
                <c:pt idx="0">
                  <c:v>3401.6322424242398</c:v>
                </c:pt>
                <c:pt idx="1">
                  <c:v>2703.84</c:v>
                </c:pt>
                <c:pt idx="2">
                  <c:v>7099.1836363636394</c:v>
                </c:pt>
                <c:pt idx="3">
                  <c:v>3251.7</c:v>
                </c:pt>
                <c:pt idx="4">
                  <c:v>10183.55321212122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346-428A-A167-3132A3B1CB52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305349872"/>
        <c:axId val="305350288"/>
      </c:barChart>
      <c:catAx>
        <c:axId val="30534987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5350288"/>
        <c:crosses val="autoZero"/>
        <c:auto val="1"/>
        <c:lblAlgn val="ctr"/>
        <c:lblOffset val="100"/>
        <c:noMultiLvlLbl val="0"/>
      </c:catAx>
      <c:valAx>
        <c:axId val="305350288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53498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[Project 1.xlsx]Sales Anlysis by months!Sales Anlysis by month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Sales Anlysis by months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'Sales Anlysis by months'!$C$2</c:f>
              <c:strCache>
                <c:ptCount val="1"/>
                <c:pt idx="0">
                  <c:v>Total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cat>
            <c:multiLvlStrRef>
              <c:f>'Sales Anlysis by months'!$B$3:$B$20</c:f>
              <c:multiLvlStrCache>
                <c:ptCount val="11"/>
                <c:lvl>
                  <c:pt idx="0">
                    <c:v>May</c:v>
                  </c:pt>
                  <c:pt idx="1">
                    <c:v>Jun</c:v>
                  </c:pt>
                  <c:pt idx="2">
                    <c:v>Jul</c:v>
                  </c:pt>
                  <c:pt idx="3">
                    <c:v>Aug</c:v>
                  </c:pt>
                  <c:pt idx="4">
                    <c:v>Sep</c:v>
                  </c:pt>
                  <c:pt idx="7">
                    <c:v>Apr</c:v>
                  </c:pt>
                  <c:pt idx="8">
                    <c:v>May</c:v>
                  </c:pt>
                  <c:pt idx="9">
                    <c:v>Jun</c:v>
                  </c:pt>
                  <c:pt idx="10">
                    <c:v>Jul</c:v>
                  </c:pt>
                </c:lvl>
                <c:lvl>
                  <c:pt idx="0">
                    <c:v>Qtr2</c:v>
                  </c:pt>
                  <c:pt idx="2">
                    <c:v>Qtr3</c:v>
                  </c:pt>
                  <c:pt idx="5">
                    <c:v>Qtr4</c:v>
                  </c:pt>
                  <c:pt idx="6">
                    <c:v>Qtr1</c:v>
                  </c:pt>
                  <c:pt idx="7">
                    <c:v>Qtr2</c:v>
                  </c:pt>
                  <c:pt idx="10">
                    <c:v>Qtr3</c:v>
                  </c:pt>
                </c:lvl>
                <c:lvl>
                  <c:pt idx="0">
                    <c:v>2025</c:v>
                  </c:pt>
                  <c:pt idx="6">
                    <c:v>2026</c:v>
                  </c:pt>
                </c:lvl>
              </c:multiLvlStrCache>
            </c:multiLvlStrRef>
          </c:cat>
          <c:val>
            <c:numRef>
              <c:f>'Sales Anlysis by months'!$C$3:$C$20</c:f>
              <c:numCache>
                <c:formatCode>General</c:formatCode>
                <c:ptCount val="11"/>
                <c:pt idx="0">
                  <c:v>1121.94</c:v>
                </c:pt>
                <c:pt idx="1">
                  <c:v>288.18</c:v>
                </c:pt>
                <c:pt idx="2">
                  <c:v>1713.04</c:v>
                </c:pt>
                <c:pt idx="3">
                  <c:v>2373.66</c:v>
                </c:pt>
                <c:pt idx="4">
                  <c:v>1037.96</c:v>
                </c:pt>
                <c:pt idx="5">
                  <c:v>4343.92</c:v>
                </c:pt>
                <c:pt idx="6">
                  <c:v>6091.8226666666706</c:v>
                </c:pt>
                <c:pt idx="7">
                  <c:v>2242.43224242424</c:v>
                </c:pt>
                <c:pt idx="8">
                  <c:v>2359.04181818182</c:v>
                </c:pt>
                <c:pt idx="9">
                  <c:v>2475.6513939393999</c:v>
                </c:pt>
                <c:pt idx="10">
                  <c:v>2592.2609696969698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89-40A5-81A6-01EAC9F8D5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81489312"/>
        <c:axId val="981488896"/>
      </c:lineChart>
      <c:catAx>
        <c:axId val="98148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1488896"/>
        <c:crosses val="autoZero"/>
        <c:auto val="1"/>
        <c:lblAlgn val="ctr"/>
        <c:lblOffset val="100"/>
        <c:noMultiLvlLbl val="0"/>
      </c:catAx>
      <c:valAx>
        <c:axId val="981488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148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[Project 1.xlsx]Sales Anlysis by product!Sales Anlysis by product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Sales Anlysis by product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pieChart>
        <c:varyColors val="1"/>
        <c:ser>
          <c:idx val="0"/>
          <c:order val="0"/>
          <c:tx>
            <c:strRef>
              <c:f>'Sales Anlysis by product'!$C$3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'Sales Anlysis by product'!$B$4:$B$9</c:f>
              <c:strCache>
                <c:ptCount val="5"/>
                <c:pt idx="0">
                  <c:v>Dress</c:v>
                </c:pt>
                <c:pt idx="1">
                  <c:v>Hat</c:v>
                </c:pt>
                <c:pt idx="2">
                  <c:v>Jacket</c:v>
                </c:pt>
                <c:pt idx="3">
                  <c:v>Scarf</c:v>
                </c:pt>
                <c:pt idx="4">
                  <c:v>Sneakers</c:v>
                </c:pt>
              </c:strCache>
            </c:strRef>
          </c:cat>
          <c:val>
            <c:numRef>
              <c:f>'Sales Anlysis by product'!$C$4:$C$9</c:f>
              <c:numCache>
                <c:formatCode>General</c:formatCode>
                <c:ptCount val="5"/>
                <c:pt idx="0">
                  <c:v>14</c:v>
                </c:pt>
                <c:pt idx="1">
                  <c:v>8</c:v>
                </c:pt>
                <c:pt idx="2">
                  <c:v>9</c:v>
                </c:pt>
                <c:pt idx="3">
                  <c:v>39</c:v>
                </c:pt>
                <c:pt idx="4">
                  <c:v>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2E-4E7F-9441-391C42AF3FFA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7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57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trlProps/ctrlProp1.xml><?xml version="1.0" encoding="utf-8"?>
<formControlPr xmlns="http://schemas.microsoft.com/office/spreadsheetml/2009/9/main" objectType="Button" lockText="1"/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4" Type="http://schemas.openxmlformats.org/officeDocument/2006/relationships/chart" Target="../charts/chart7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561975</xdr:colOff>
          <xdr:row>16</xdr:row>
          <xdr:rowOff>0</xdr:rowOff>
        </xdr:from>
        <xdr:to>
          <xdr:col>7</xdr:col>
          <xdr:colOff>1133475</xdr:colOff>
          <xdr:row>17</xdr:row>
          <xdr:rowOff>28575</xdr:rowOff>
        </xdr:to>
        <xdr:sp macro="" textlink="">
          <xdr:nvSpPr>
            <xdr:cNvPr id="1025" name="Button 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en-US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Button 1</a:t>
              </a:r>
            </a:p>
          </xdr:txBody>
        </xdr:sp>
        <xdr:clientData fPrintsWithSheet="0"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295275</xdr:colOff>
      <xdr:row>5</xdr:row>
      <xdr:rowOff>166687</xdr:rowOff>
    </xdr:from>
    <xdr:to>
      <xdr:col>11</xdr:col>
      <xdr:colOff>600075</xdr:colOff>
      <xdr:row>20</xdr:row>
      <xdr:rowOff>52387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9B1F888-C99C-433D-8785-32322F63B51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523875</xdr:colOff>
      <xdr:row>5</xdr:row>
      <xdr:rowOff>166687</xdr:rowOff>
    </xdr:from>
    <xdr:to>
      <xdr:col>12</xdr:col>
      <xdr:colOff>219075</xdr:colOff>
      <xdr:row>20</xdr:row>
      <xdr:rowOff>52387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43D16C0-EEAD-494D-B93B-6FCCC3289CF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</xdr:colOff>
      <xdr:row>6</xdr:row>
      <xdr:rowOff>90487</xdr:rowOff>
    </xdr:from>
    <xdr:to>
      <xdr:col>10</xdr:col>
      <xdr:colOff>342900</xdr:colOff>
      <xdr:row>20</xdr:row>
      <xdr:rowOff>166687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7DEFE04-BFB3-499D-B718-0E93CED475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312962</xdr:colOff>
      <xdr:row>14</xdr:row>
      <xdr:rowOff>77561</xdr:rowOff>
    </xdr:from>
    <xdr:to>
      <xdr:col>15</xdr:col>
      <xdr:colOff>5441</xdr:colOff>
      <xdr:row>28</xdr:row>
      <xdr:rowOff>153761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15309A0-5773-400B-BFA6-F775E39842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13607</xdr:colOff>
      <xdr:row>14</xdr:row>
      <xdr:rowOff>68036</xdr:rowOff>
    </xdr:from>
    <xdr:to>
      <xdr:col>7</xdr:col>
      <xdr:colOff>318407</xdr:colOff>
      <xdr:row>28</xdr:row>
      <xdr:rowOff>144236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9AA310F-4DC8-43E5-A971-93FCCD2127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27215</xdr:colOff>
      <xdr:row>14</xdr:row>
      <xdr:rowOff>63954</xdr:rowOff>
    </xdr:from>
    <xdr:to>
      <xdr:col>22</xdr:col>
      <xdr:colOff>332015</xdr:colOff>
      <xdr:row>28</xdr:row>
      <xdr:rowOff>140154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898EFCC-1EA4-4FFA-BBD6-FA0D9F2F422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</xdr:colOff>
      <xdr:row>0</xdr:row>
      <xdr:rowOff>0</xdr:rowOff>
    </xdr:from>
    <xdr:to>
      <xdr:col>22</xdr:col>
      <xdr:colOff>326573</xdr:colOff>
      <xdr:row>14</xdr:row>
      <xdr:rowOff>76200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83ECB11-AA82-4FAC-8628-7254D632BC9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838200</xdr:colOff>
      <xdr:row>6</xdr:row>
      <xdr:rowOff>90487</xdr:rowOff>
    </xdr:from>
    <xdr:to>
      <xdr:col>10</xdr:col>
      <xdr:colOff>114300</xdr:colOff>
      <xdr:row>20</xdr:row>
      <xdr:rowOff>166687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22E1B14-5B00-4443-A422-A968ED9480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ohamed elzaghal" refreshedDate="45869.424270254633" backgroundQuery="1" createdVersion="7" refreshedVersion="7" minRefreshableVersion="3" recordCount="0" supportSubquery="1" supportAdvancedDrill="1" xr:uid="{81886ECD-DE87-48CC-9F39-A574602A1595}">
  <cacheSource type="external" connectionId="1"/>
  <cacheFields count="2">
    <cacheField name="[Table1].[Sales Rep].[Sales Rep]" caption="Sales Rep" numFmtId="0" hierarchy="9" level="1">
      <sharedItems count="5">
        <s v="Ali"/>
        <s v="Dina"/>
        <s v="Mohamed"/>
        <s v="Sara"/>
        <s v="Youssef"/>
      </sharedItems>
    </cacheField>
    <cacheField name="[Measures].[Sum of Total]" caption="Sum of Total" numFmtId="0" hierarchy="21" level="32767"/>
  </cacheFields>
  <cacheHierarchies count="22">
    <cacheHierarchy uniqueName="[Table1].[Order ID]" caption="Order ID" attribute="1" defaultMemberUniqueName="[Table1].[Order ID].[All]" allUniqueName="[Table1].[Order ID].[All]" dimensionUniqueName="[Table1]" displayFolder="" count="0" memberValueDatatype="130" unbalanced="0"/>
    <cacheHierarchy uniqueName="[Table1].[Customer]" caption="Customer" attribute="1" defaultMemberUniqueName="[Table1].[Customer].[All]" allUniqueName="[Table1].[Customer].[All]" dimensionUniqueName="[Table1]" displayFolder="" count="0" memberValueDatatype="130" unbalanced="0"/>
    <cacheHierarchy uniqueName="[Table1].[Region]" caption="Region" attribute="1" defaultMemberUniqueName="[Table1].[Region].[All]" allUniqueName="[Table1].[Region].[All]" dimensionUniqueName="[Table1]" displayFolder="" count="0" memberValueDatatype="130" unbalanced="0"/>
    <cacheHierarchy uniqueName="[Table1].[Product]" caption="Product" attribute="1" defaultMemberUniqueName="[Table1].[Product].[All]" allUniqueName="[Table1].[Product].[All]" dimensionUniqueName="[Table1]" displayFolder="" count="0" memberValueDatatype="130" unbalanced="0"/>
    <cacheHierarchy uniqueName="[Table1].[Category]" caption="Category" attribute="1" defaultMemberUniqueName="[Table1].[Category].[All]" allUniqueName="[Table1].[Category].[All]" dimensionUniqueName="[Table1]" displayFolder="" count="0" memberValueDatatype="130" unbalanced="0"/>
    <cacheHierarchy uniqueName="[Table1].[Quantity]" caption="Quantity" attribute="1" defaultMemberUniqueName="[Table1].[Quantity].[All]" allUniqueName="[Table1].[Quantity].[All]" dimensionUniqueName="[Table1]" displayFolder="" count="0" memberValueDatatype="20" unbalanced="0"/>
    <cacheHierarchy uniqueName="[Table1].[Unit Price]" caption="Unit Price" attribute="1" defaultMemberUniqueName="[Table1].[Unit Price].[All]" allUniqueName="[Table1].[Unit Price].[All]" dimensionUniqueName="[Table1]" displayFolder="" count="0" memberValueDatatype="5" unbalanced="0"/>
    <cacheHierarchy uniqueName="[Table1].[Total]" caption="Total" attribute="1" defaultMemberUniqueName="[Table1].[Total].[All]" allUniqueName="[Table1].[Total].[All]" dimensionUniqueName="[Table1]" displayFolder="" count="0" memberValueDatatype="5" unbalanced="0"/>
    <cacheHierarchy uniqueName="[Table1].[Order Date]" caption="Order Date" attribute="1" time="1" defaultMemberUniqueName="[Table1].[Order Date].[All]" allUniqueName="[Table1].[Order Date].[All]" dimensionUniqueName="[Table1]" displayFolder="" count="0" memberValueDatatype="7" unbalanced="0"/>
    <cacheHierarchy uniqueName="[Table1].[Sales Rep]" caption="Sales Rep" attribute="1" defaultMemberUniqueName="[Table1].[Sales Rep].[All]" allUniqueName="[Table1].[Sales Rep].[All]" dimensionUniqueName="[Table1]" displayFolder="" count="2" memberValueDatatype="130" unbalanced="0">
      <fieldsUsage count="2">
        <fieldUsage x="-1"/>
        <fieldUsage x="0"/>
      </fieldsUsage>
    </cacheHierarchy>
    <cacheHierarchy uniqueName="[Table1].[Total2]" caption="Total2" attribute="1" defaultMemberUniqueName="[Table1].[Total2].[All]" allUniqueName="[Table1].[Total2].[All]" dimensionUniqueName="[Table1]" displayFolder="" count="0" memberValueDatatype="5" unbalanced="0"/>
    <cacheHierarchy uniqueName="[Table1].[Month]" caption="Month" attribute="1" defaultMemberUniqueName="[Table1].[Month].[All]" allUniqueName="[Table1].[Month].[All]" dimensionUniqueName="[Table1]" displayFolder="" count="0" memberValueDatatype="20" unbalanced="0"/>
    <cacheHierarchy uniqueName="[Table1].[Year]" caption="Year" attribute="1" defaultMemberUniqueName="[Table1].[Year].[All]" allUniqueName="[Table1].[Year].[All]" dimensionUniqueName="[Table1]" displayFolder="" count="0" memberValueDatatype="20" unbalanced="0"/>
    <cacheHierarchy uniqueName="[Table1].[Target]" caption="Target" attribute="1" defaultMemberUniqueName="[Table1].[Target].[All]" allUniqueName="[Table1].[Target].[All]" dimensionUniqueName="[Table1]" displayFolder="" count="0" memberValueDatatype="130" unbalanced="0"/>
    <cacheHierarchy uniqueName="[Table1].[Order Date (Year)]" caption="Order Date (Year)" attribute="1" defaultMemberUniqueName="[Table1].[Order Date (Year)].[All]" allUniqueName="[Table1].[Order Date (Year)].[All]" dimensionUniqueName="[Table1]" displayFolder="" count="0" memberValueDatatype="130" unbalanced="0"/>
    <cacheHierarchy uniqueName="[Table1].[Order Date (Quarter)]" caption="Order Date (Quarter)" attribute="1" defaultMemberUniqueName="[Table1].[Order Date (Quarter)].[All]" allUniqueName="[Table1].[Order Date (Quarter)].[All]" dimensionUniqueName="[Table1]" displayFolder="" count="0" memberValueDatatype="130" unbalanced="0"/>
    <cacheHierarchy uniqueName="[Table1].[Order Date (Month)]" caption="Order Date (Month)" attribute="1" defaultMemberUniqueName="[Table1].[Order Date (Month)].[All]" allUniqueName="[Table1].[Order Date (Month)].[All]" dimensionUniqueName="[Table1]" displayFolder="" count="0" memberValueDatatype="130" unbalanced="0"/>
    <cacheHierarchy uniqueName="[Table1].[Order Date (Month Index)]" caption="Order Date (Month Index)" attribute="1" defaultMemberUniqueName="[Table1].[Order Date (Month Index)].[All]" allUniqueName="[Table1].[Order Date (Month Index)].[All]" dimensionUniqueName="[Table1]" displayFolder="" count="0" memberValueDatatype="20" unbalanced="0" hidden="1"/>
    <cacheHierarchy uniqueName="[Measures].[__XL_Count Table1]" caption="__XL_Count Table1" measure="1" displayFolder="" measureGroup="Table1" count="0" hidden="1"/>
    <cacheHierarchy uniqueName="[Measures].[__No measures defined]" caption="__No measures defined" measure="1" displayFolder="" count="0" hidden="1"/>
    <cacheHierarchy uniqueName="[Measures].[Sum of Quantity]" caption="Sum of Quantity" measure="1" displayFolder="" measureGroup="Table1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 of Total]" caption="Sum of Total" measure="1" displayFolder="" measureGroup="Table1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7"/>
        </ext>
      </extLst>
    </cacheHierarchy>
  </cacheHierarchies>
  <kpis count="0"/>
  <dimensions count="2">
    <dimension measure="1" name="Measures" uniqueName="[Measures]" caption="Measures"/>
    <dimension name="Table1" uniqueName="[Table1]" caption="Table1"/>
  </dimensions>
  <measureGroups count="1">
    <measureGroup name="Table1" caption="Table1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ohamed elzaghal" refreshedDate="45869.42427152778" backgroundQuery="1" createdVersion="7" refreshedVersion="7" minRefreshableVersion="3" recordCount="0" supportSubquery="1" supportAdvancedDrill="1" xr:uid="{09CD201E-B904-411F-9FC9-FC593550B88B}">
  <cacheSource type="external" connectionId="1"/>
  <cacheFields count="2">
    <cacheField name="[Table1].[Category].[Category]" caption="Category" numFmtId="0" hierarchy="4" level="1">
      <sharedItems count="3">
        <s v="Accessories"/>
        <s v="Clothing"/>
        <s v="Footwear"/>
      </sharedItems>
    </cacheField>
    <cacheField name="[Measures].[Sum of Total]" caption="Sum of Total" numFmtId="0" hierarchy="21" level="32767"/>
  </cacheFields>
  <cacheHierarchies count="22">
    <cacheHierarchy uniqueName="[Table1].[Order ID]" caption="Order ID" attribute="1" defaultMemberUniqueName="[Table1].[Order ID].[All]" allUniqueName="[Table1].[Order ID].[All]" dimensionUniqueName="[Table1]" displayFolder="" count="0" memberValueDatatype="130" unbalanced="0"/>
    <cacheHierarchy uniqueName="[Table1].[Customer]" caption="Customer" attribute="1" defaultMemberUniqueName="[Table1].[Customer].[All]" allUniqueName="[Table1].[Customer].[All]" dimensionUniqueName="[Table1]" displayFolder="" count="0" memberValueDatatype="130" unbalanced="0"/>
    <cacheHierarchy uniqueName="[Table1].[Region]" caption="Region" attribute="1" defaultMemberUniqueName="[Table1].[Region].[All]" allUniqueName="[Table1].[Region].[All]" dimensionUniqueName="[Table1]" displayFolder="" count="0" memberValueDatatype="130" unbalanced="0"/>
    <cacheHierarchy uniqueName="[Table1].[Product]" caption="Product" attribute="1" defaultMemberUniqueName="[Table1].[Product].[All]" allUniqueName="[Table1].[Product].[All]" dimensionUniqueName="[Table1]" displayFolder="" count="0" memberValueDatatype="130" unbalanced="0"/>
    <cacheHierarchy uniqueName="[Table1].[Category]" caption="Category" attribute="1" defaultMemberUniqueName="[Table1].[Category].[All]" allUniqueName="[Table1].[Category].[All]" dimensionUniqueName="[Table1]" displayFolder="" count="2" memberValueDatatype="130" unbalanced="0">
      <fieldsUsage count="2">
        <fieldUsage x="-1"/>
        <fieldUsage x="0"/>
      </fieldsUsage>
    </cacheHierarchy>
    <cacheHierarchy uniqueName="[Table1].[Quantity]" caption="Quantity" attribute="1" defaultMemberUniqueName="[Table1].[Quantity].[All]" allUniqueName="[Table1].[Quantity].[All]" dimensionUniqueName="[Table1]" displayFolder="" count="0" memberValueDatatype="20" unbalanced="0"/>
    <cacheHierarchy uniqueName="[Table1].[Unit Price]" caption="Unit Price" attribute="1" defaultMemberUniqueName="[Table1].[Unit Price].[All]" allUniqueName="[Table1].[Unit Price].[All]" dimensionUniqueName="[Table1]" displayFolder="" count="0" memberValueDatatype="5" unbalanced="0"/>
    <cacheHierarchy uniqueName="[Table1].[Total]" caption="Total" attribute="1" defaultMemberUniqueName="[Table1].[Total].[All]" allUniqueName="[Table1].[Total].[All]" dimensionUniqueName="[Table1]" displayFolder="" count="0" memberValueDatatype="5" unbalanced="0"/>
    <cacheHierarchy uniqueName="[Table1].[Order Date]" caption="Order Date" attribute="1" time="1" defaultMemberUniqueName="[Table1].[Order Date].[All]" allUniqueName="[Table1].[Order Date].[All]" dimensionUniqueName="[Table1]" displayFolder="" count="0" memberValueDatatype="7" unbalanced="0"/>
    <cacheHierarchy uniqueName="[Table1].[Sales Rep]" caption="Sales Rep" attribute="1" defaultMemberUniqueName="[Table1].[Sales Rep].[All]" allUniqueName="[Table1].[Sales Rep].[All]" dimensionUniqueName="[Table1]" displayFolder="" count="0" memberValueDatatype="130" unbalanced="0"/>
    <cacheHierarchy uniqueName="[Table1].[Total2]" caption="Total2" attribute="1" defaultMemberUniqueName="[Table1].[Total2].[All]" allUniqueName="[Table1].[Total2].[All]" dimensionUniqueName="[Table1]" displayFolder="" count="0" memberValueDatatype="5" unbalanced="0"/>
    <cacheHierarchy uniqueName="[Table1].[Month]" caption="Month" attribute="1" defaultMemberUniqueName="[Table1].[Month].[All]" allUniqueName="[Table1].[Month].[All]" dimensionUniqueName="[Table1]" displayFolder="" count="0" memberValueDatatype="20" unbalanced="0"/>
    <cacheHierarchy uniqueName="[Table1].[Year]" caption="Year" attribute="1" defaultMemberUniqueName="[Table1].[Year].[All]" allUniqueName="[Table1].[Year].[All]" dimensionUniqueName="[Table1]" displayFolder="" count="0" memberValueDatatype="20" unbalanced="0"/>
    <cacheHierarchy uniqueName="[Table1].[Target]" caption="Target" attribute="1" defaultMemberUniqueName="[Table1].[Target].[All]" allUniqueName="[Table1].[Target].[All]" dimensionUniqueName="[Table1]" displayFolder="" count="0" memberValueDatatype="130" unbalanced="0"/>
    <cacheHierarchy uniqueName="[Table1].[Order Date (Year)]" caption="Order Date (Year)" attribute="1" defaultMemberUniqueName="[Table1].[Order Date (Year)].[All]" allUniqueName="[Table1].[Order Date (Year)].[All]" dimensionUniqueName="[Table1]" displayFolder="" count="0" memberValueDatatype="130" unbalanced="0"/>
    <cacheHierarchy uniqueName="[Table1].[Order Date (Quarter)]" caption="Order Date (Quarter)" attribute="1" defaultMemberUniqueName="[Table1].[Order Date (Quarter)].[All]" allUniqueName="[Table1].[Order Date (Quarter)].[All]" dimensionUniqueName="[Table1]" displayFolder="" count="0" memberValueDatatype="130" unbalanced="0"/>
    <cacheHierarchy uniqueName="[Table1].[Order Date (Month)]" caption="Order Date (Month)" attribute="1" defaultMemberUniqueName="[Table1].[Order Date (Month)].[All]" allUniqueName="[Table1].[Order Date (Month)].[All]" dimensionUniqueName="[Table1]" displayFolder="" count="0" memberValueDatatype="130" unbalanced="0"/>
    <cacheHierarchy uniqueName="[Table1].[Order Date (Month Index)]" caption="Order Date (Month Index)" attribute="1" defaultMemberUniqueName="[Table1].[Order Date (Month Index)].[All]" allUniqueName="[Table1].[Order Date (Month Index)].[All]" dimensionUniqueName="[Table1]" displayFolder="" count="0" memberValueDatatype="20" unbalanced="0" hidden="1"/>
    <cacheHierarchy uniqueName="[Measures].[__XL_Count Table1]" caption="__XL_Count Table1" measure="1" displayFolder="" measureGroup="Table1" count="0" hidden="1"/>
    <cacheHierarchy uniqueName="[Measures].[__No measures defined]" caption="__No measures defined" measure="1" displayFolder="" count="0" hidden="1"/>
    <cacheHierarchy uniqueName="[Measures].[Sum of Quantity]" caption="Sum of Quantity" measure="1" displayFolder="" measureGroup="Table1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 of Total]" caption="Sum of Total" measure="1" displayFolder="" measureGroup="Table1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7"/>
        </ext>
      </extLst>
    </cacheHierarchy>
  </cacheHierarchies>
  <kpis count="0"/>
  <dimensions count="2">
    <dimension measure="1" name="Measures" uniqueName="[Measures]" caption="Measures"/>
    <dimension name="Table1" uniqueName="[Table1]" caption="Table1"/>
  </dimensions>
  <measureGroups count="1">
    <measureGroup name="Table1" caption="Table1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ohamed elzaghal" refreshedDate="45869.426089004628" backgroundQuery="1" createdVersion="7" refreshedVersion="7" minRefreshableVersion="3" recordCount="0" supportSubquery="1" supportAdvancedDrill="1" xr:uid="{9583E334-979F-486B-9AA3-DCE000B0770F}">
  <cacheSource type="external" connectionId="1"/>
  <cacheFields count="5">
    <cacheField name="[Table1].[Order Date].[Order Date]" caption="Order Date" numFmtId="0" hierarchy="8" level="1">
      <sharedItems containsSemiMixedTypes="0" containsNonDate="0" containsDate="1" containsString="0" minDate="2025-05-30T00:00:00" maxDate="2026-07-31T00:00:00" count="15">
        <d v="2025-05-30T00:00:00"/>
        <d v="2025-06-30T00:00:00"/>
        <d v="2025-07-30T00:00:00"/>
        <d v="2025-08-30T00:00:00"/>
        <d v="2025-09-30T00:00:00"/>
        <d v="2025-10-30T00:00:00"/>
        <d v="2025-11-30T00:00:00"/>
        <d v="2025-12-30T00:00:00"/>
        <d v="2026-01-30T00:00:00"/>
        <d v="2026-02-28T00:00:00"/>
        <d v="2026-03-30T00:00:00"/>
        <d v="2026-04-30T00:00:00"/>
        <d v="2026-05-30T00:00:00"/>
        <d v="2026-06-30T00:00:00"/>
        <d v="2026-07-30T00:00:00"/>
      </sharedItems>
    </cacheField>
    <cacheField name="[Table1].[Order Date (Month)].[Order Date (Month)]" caption="Order Date (Month)" numFmtId="0" hierarchy="16" level="1">
      <sharedItems count="6">
        <s v="May"/>
        <s v="Jun"/>
        <s v="Jul"/>
        <s v="Aug"/>
        <s v="Sep"/>
        <s v="Apr"/>
      </sharedItems>
    </cacheField>
    <cacheField name="[Table1].[Order Date (Quarter)].[Order Date (Quarter)]" caption="Order Date (Quarter)" numFmtId="0" hierarchy="15" level="1">
      <sharedItems count="4">
        <s v="Qtr2"/>
        <s v="Qtr3"/>
        <s v="Qtr4"/>
        <s v="Qtr1"/>
      </sharedItems>
    </cacheField>
    <cacheField name="[Table1].[Order Date (Year)].[Order Date (Year)]" caption="Order Date (Year)" numFmtId="0" hierarchy="14" level="1">
      <sharedItems count="2">
        <s v="2025"/>
        <s v="2026"/>
      </sharedItems>
    </cacheField>
    <cacheField name="[Measures].[Sum of Total]" caption="Sum of Total" numFmtId="0" hierarchy="21" level="32767"/>
  </cacheFields>
  <cacheHierarchies count="22">
    <cacheHierarchy uniqueName="[Table1].[Order ID]" caption="Order ID" attribute="1" defaultMemberUniqueName="[Table1].[Order ID].[All]" allUniqueName="[Table1].[Order ID].[All]" dimensionUniqueName="[Table1]" displayFolder="" count="0" memberValueDatatype="130" unbalanced="0"/>
    <cacheHierarchy uniqueName="[Table1].[Customer]" caption="Customer" attribute="1" defaultMemberUniqueName="[Table1].[Customer].[All]" allUniqueName="[Table1].[Customer].[All]" dimensionUniqueName="[Table1]" displayFolder="" count="0" memberValueDatatype="130" unbalanced="0"/>
    <cacheHierarchy uniqueName="[Table1].[Region]" caption="Region" attribute="1" defaultMemberUniqueName="[Table1].[Region].[All]" allUniqueName="[Table1].[Region].[All]" dimensionUniqueName="[Table1]" displayFolder="" count="0" memberValueDatatype="130" unbalanced="0"/>
    <cacheHierarchy uniqueName="[Table1].[Product]" caption="Product" attribute="1" defaultMemberUniqueName="[Table1].[Product].[All]" allUniqueName="[Table1].[Product].[All]" dimensionUniqueName="[Table1]" displayFolder="" count="0" memberValueDatatype="130" unbalanced="0"/>
    <cacheHierarchy uniqueName="[Table1].[Category]" caption="Category" attribute="1" defaultMemberUniqueName="[Table1].[Category].[All]" allUniqueName="[Table1].[Category].[All]" dimensionUniqueName="[Table1]" displayFolder="" count="0" memberValueDatatype="130" unbalanced="0"/>
    <cacheHierarchy uniqueName="[Table1].[Quantity]" caption="Quantity" attribute="1" defaultMemberUniqueName="[Table1].[Quantity].[All]" allUniqueName="[Table1].[Quantity].[All]" dimensionUniqueName="[Table1]" displayFolder="" count="0" memberValueDatatype="20" unbalanced="0"/>
    <cacheHierarchy uniqueName="[Table1].[Unit Price]" caption="Unit Price" attribute="1" defaultMemberUniqueName="[Table1].[Unit Price].[All]" allUniqueName="[Table1].[Unit Price].[All]" dimensionUniqueName="[Table1]" displayFolder="" count="0" memberValueDatatype="5" unbalanced="0"/>
    <cacheHierarchy uniqueName="[Table1].[Total]" caption="Total" attribute="1" defaultMemberUniqueName="[Table1].[Total].[All]" allUniqueName="[Table1].[Total].[All]" dimensionUniqueName="[Table1]" displayFolder="" count="0" memberValueDatatype="5" unbalanced="0"/>
    <cacheHierarchy uniqueName="[Table1].[Order Date]" caption="Order Date" attribute="1" time="1" defaultMemberUniqueName="[Table1].[Order Date].[All]" allUniqueName="[Table1].[Order Date].[All]" dimensionUniqueName="[Table1]" displayFolder="" count="2" memberValueDatatype="7" unbalanced="0">
      <fieldsUsage count="2">
        <fieldUsage x="-1"/>
        <fieldUsage x="0"/>
      </fieldsUsage>
    </cacheHierarchy>
    <cacheHierarchy uniqueName="[Table1].[Sales Rep]" caption="Sales Rep" attribute="1" defaultMemberUniqueName="[Table1].[Sales Rep].[All]" allUniqueName="[Table1].[Sales Rep].[All]" dimensionUniqueName="[Table1]" displayFolder="" count="0" memberValueDatatype="130" unbalanced="0"/>
    <cacheHierarchy uniqueName="[Table1].[Total2]" caption="Total2" attribute="1" defaultMemberUniqueName="[Table1].[Total2].[All]" allUniqueName="[Table1].[Total2].[All]" dimensionUniqueName="[Table1]" displayFolder="" count="0" memberValueDatatype="5" unbalanced="0"/>
    <cacheHierarchy uniqueName="[Table1].[Month]" caption="Month" attribute="1" defaultMemberUniqueName="[Table1].[Month].[All]" allUniqueName="[Table1].[Month].[All]" dimensionUniqueName="[Table1]" displayFolder="" count="0" memberValueDatatype="20" unbalanced="0"/>
    <cacheHierarchy uniqueName="[Table1].[Year]" caption="Year" attribute="1" defaultMemberUniqueName="[Table1].[Year].[All]" allUniqueName="[Table1].[Year].[All]" dimensionUniqueName="[Table1]" displayFolder="" count="0" memberValueDatatype="20" unbalanced="0"/>
    <cacheHierarchy uniqueName="[Table1].[Target]" caption="Target" attribute="1" defaultMemberUniqueName="[Table1].[Target].[All]" allUniqueName="[Table1].[Target].[All]" dimensionUniqueName="[Table1]" displayFolder="" count="0" memberValueDatatype="130" unbalanced="0"/>
    <cacheHierarchy uniqueName="[Table1].[Order Date (Year)]" caption="Order Date (Year)" attribute="1" defaultMemberUniqueName="[Table1].[Order Date (Year)].[All]" allUniqueName="[Table1].[Order Date (Year)].[All]" dimensionUniqueName="[Table1]" displayFolder="" count="2" memberValueDatatype="130" unbalanced="0">
      <fieldsUsage count="2">
        <fieldUsage x="-1"/>
        <fieldUsage x="3"/>
      </fieldsUsage>
    </cacheHierarchy>
    <cacheHierarchy uniqueName="[Table1].[Order Date (Quarter)]" caption="Order Date (Quarter)" attribute="1" defaultMemberUniqueName="[Table1].[Order Date (Quarter)].[All]" allUniqueName="[Table1].[Order Date (Quarter)].[All]" dimensionUniqueName="[Table1]" displayFolder="" count="2" memberValueDatatype="130" unbalanced="0">
      <fieldsUsage count="2">
        <fieldUsage x="-1"/>
        <fieldUsage x="2"/>
      </fieldsUsage>
    </cacheHierarchy>
    <cacheHierarchy uniqueName="[Table1].[Order Date (Month)]" caption="Order Date (Month)" attribute="1" defaultMemberUniqueName="[Table1].[Order Date (Month)].[All]" allUniqueName="[Table1].[Order Date (Month)].[All]" dimensionUniqueName="[Table1]" displayFolder="" count="2" memberValueDatatype="130" unbalanced="0">
      <fieldsUsage count="2">
        <fieldUsage x="-1"/>
        <fieldUsage x="1"/>
      </fieldsUsage>
    </cacheHierarchy>
    <cacheHierarchy uniqueName="[Table1].[Order Date (Month Index)]" caption="Order Date (Month Index)" attribute="1" defaultMemberUniqueName="[Table1].[Order Date (Month Index)].[All]" allUniqueName="[Table1].[Order Date (Month Index)].[All]" dimensionUniqueName="[Table1]" displayFolder="" count="0" memberValueDatatype="20" unbalanced="0" hidden="1"/>
    <cacheHierarchy uniqueName="[Measures].[__XL_Count Table1]" caption="__XL_Count Table1" measure="1" displayFolder="" measureGroup="Table1" count="0" hidden="1"/>
    <cacheHierarchy uniqueName="[Measures].[__No measures defined]" caption="__No measures defined" measure="1" displayFolder="" count="0" hidden="1"/>
    <cacheHierarchy uniqueName="[Measures].[Sum of Quantity]" caption="Sum of Quantity" measure="1" displayFolder="" measureGroup="Table1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 of Total]" caption="Sum of Total" measure="1" displayFolder="" measureGroup="Table1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7"/>
        </ext>
      </extLst>
    </cacheHierarchy>
  </cacheHierarchies>
  <kpis count="0"/>
  <dimensions count="2">
    <dimension measure="1" name="Measures" uniqueName="[Measures]" caption="Measures"/>
    <dimension name="Table1" uniqueName="[Table1]" caption="Table1"/>
  </dimensions>
  <measureGroups count="1">
    <measureGroup name="Table1" caption="Table1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ohamed elzaghal" refreshedDate="45869.426255439816" backgroundQuery="1" createdVersion="7" refreshedVersion="7" minRefreshableVersion="3" recordCount="0" supportSubquery="1" supportAdvancedDrill="1" xr:uid="{BFA525EC-1F04-4BCF-92AE-E2F1315D5C75}">
  <cacheSource type="external" connectionId="1"/>
  <cacheFields count="2">
    <cacheField name="[Table1].[Product].[Product]" caption="Product" numFmtId="0" hierarchy="3" level="1">
      <sharedItems count="5">
        <s v="Dress"/>
        <s v="Hat"/>
        <s v="Jacket"/>
        <s v="Scarf"/>
        <s v="Sneakers"/>
      </sharedItems>
    </cacheField>
    <cacheField name="[Measures].[Sum of Quantity]" caption="Sum of Quantity" numFmtId="0" hierarchy="20" level="32767"/>
  </cacheFields>
  <cacheHierarchies count="22">
    <cacheHierarchy uniqueName="[Table1].[Order ID]" caption="Order ID" attribute="1" defaultMemberUniqueName="[Table1].[Order ID].[All]" allUniqueName="[Table1].[Order ID].[All]" dimensionUniqueName="[Table1]" displayFolder="" count="0" memberValueDatatype="130" unbalanced="0"/>
    <cacheHierarchy uniqueName="[Table1].[Customer]" caption="Customer" attribute="1" defaultMemberUniqueName="[Table1].[Customer].[All]" allUniqueName="[Table1].[Customer].[All]" dimensionUniqueName="[Table1]" displayFolder="" count="0" memberValueDatatype="130" unbalanced="0"/>
    <cacheHierarchy uniqueName="[Table1].[Region]" caption="Region" attribute="1" defaultMemberUniqueName="[Table1].[Region].[All]" allUniqueName="[Table1].[Region].[All]" dimensionUniqueName="[Table1]" displayFolder="" count="0" memberValueDatatype="130" unbalanced="0"/>
    <cacheHierarchy uniqueName="[Table1].[Product]" caption="Product" attribute="1" defaultMemberUniqueName="[Table1].[Product].[All]" allUniqueName="[Table1].[Product].[All]" dimensionUniqueName="[Table1]" displayFolder="" count="2" memberValueDatatype="130" unbalanced="0">
      <fieldsUsage count="2">
        <fieldUsage x="-1"/>
        <fieldUsage x="0"/>
      </fieldsUsage>
    </cacheHierarchy>
    <cacheHierarchy uniqueName="[Table1].[Category]" caption="Category" attribute="1" defaultMemberUniqueName="[Table1].[Category].[All]" allUniqueName="[Table1].[Category].[All]" dimensionUniqueName="[Table1]" displayFolder="" count="0" memberValueDatatype="130" unbalanced="0"/>
    <cacheHierarchy uniqueName="[Table1].[Quantity]" caption="Quantity" attribute="1" defaultMemberUniqueName="[Table1].[Quantity].[All]" allUniqueName="[Table1].[Quantity].[All]" dimensionUniqueName="[Table1]" displayFolder="" count="0" memberValueDatatype="20" unbalanced="0"/>
    <cacheHierarchy uniqueName="[Table1].[Unit Price]" caption="Unit Price" attribute="1" defaultMemberUniqueName="[Table1].[Unit Price].[All]" allUniqueName="[Table1].[Unit Price].[All]" dimensionUniqueName="[Table1]" displayFolder="" count="0" memberValueDatatype="5" unbalanced="0"/>
    <cacheHierarchy uniqueName="[Table1].[Total]" caption="Total" attribute="1" defaultMemberUniqueName="[Table1].[Total].[All]" allUniqueName="[Table1].[Total].[All]" dimensionUniqueName="[Table1]" displayFolder="" count="0" memberValueDatatype="5" unbalanced="0"/>
    <cacheHierarchy uniqueName="[Table1].[Order Date]" caption="Order Date" attribute="1" time="1" defaultMemberUniqueName="[Table1].[Order Date].[All]" allUniqueName="[Table1].[Order Date].[All]" dimensionUniqueName="[Table1]" displayFolder="" count="0" memberValueDatatype="7" unbalanced="0"/>
    <cacheHierarchy uniqueName="[Table1].[Sales Rep]" caption="Sales Rep" attribute="1" defaultMemberUniqueName="[Table1].[Sales Rep].[All]" allUniqueName="[Table1].[Sales Rep].[All]" dimensionUniqueName="[Table1]" displayFolder="" count="0" memberValueDatatype="130" unbalanced="0"/>
    <cacheHierarchy uniqueName="[Table1].[Total2]" caption="Total2" attribute="1" defaultMemberUniqueName="[Table1].[Total2].[All]" allUniqueName="[Table1].[Total2].[All]" dimensionUniqueName="[Table1]" displayFolder="" count="0" memberValueDatatype="5" unbalanced="0"/>
    <cacheHierarchy uniqueName="[Table1].[Month]" caption="Month" attribute="1" defaultMemberUniqueName="[Table1].[Month].[All]" allUniqueName="[Table1].[Month].[All]" dimensionUniqueName="[Table1]" displayFolder="" count="0" memberValueDatatype="20" unbalanced="0"/>
    <cacheHierarchy uniqueName="[Table1].[Year]" caption="Year" attribute="1" defaultMemberUniqueName="[Table1].[Year].[All]" allUniqueName="[Table1].[Year].[All]" dimensionUniqueName="[Table1]" displayFolder="" count="0" memberValueDatatype="20" unbalanced="0"/>
    <cacheHierarchy uniqueName="[Table1].[Target]" caption="Target" attribute="1" defaultMemberUniqueName="[Table1].[Target].[All]" allUniqueName="[Table1].[Target].[All]" dimensionUniqueName="[Table1]" displayFolder="" count="0" memberValueDatatype="130" unbalanced="0"/>
    <cacheHierarchy uniqueName="[Table1].[Order Date (Year)]" caption="Order Date (Year)" attribute="1" defaultMemberUniqueName="[Table1].[Order Date (Year)].[All]" allUniqueName="[Table1].[Order Date (Year)].[All]" dimensionUniqueName="[Table1]" displayFolder="" count="0" memberValueDatatype="130" unbalanced="0"/>
    <cacheHierarchy uniqueName="[Table1].[Order Date (Quarter)]" caption="Order Date (Quarter)" attribute="1" defaultMemberUniqueName="[Table1].[Order Date (Quarter)].[All]" allUniqueName="[Table1].[Order Date (Quarter)].[All]" dimensionUniqueName="[Table1]" displayFolder="" count="0" memberValueDatatype="130" unbalanced="0"/>
    <cacheHierarchy uniqueName="[Table1].[Order Date (Month)]" caption="Order Date (Month)" attribute="1" defaultMemberUniqueName="[Table1].[Order Date (Month)].[All]" allUniqueName="[Table1].[Order Date (Month)].[All]" dimensionUniqueName="[Table1]" displayFolder="" count="0" memberValueDatatype="130" unbalanced="0"/>
    <cacheHierarchy uniqueName="[Table1].[Order Date (Month Index)]" caption="Order Date (Month Index)" attribute="1" defaultMemberUniqueName="[Table1].[Order Date (Month Index)].[All]" allUniqueName="[Table1].[Order Date (Month Index)].[All]" dimensionUniqueName="[Table1]" displayFolder="" count="0" memberValueDatatype="20" unbalanced="0" hidden="1"/>
    <cacheHierarchy uniqueName="[Measures].[__XL_Count Table1]" caption="__XL_Count Table1" measure="1" displayFolder="" measureGroup="Table1" count="0" hidden="1"/>
    <cacheHierarchy uniqueName="[Measures].[__No measures defined]" caption="__No measures defined" measure="1" displayFolder="" count="0" hidden="1"/>
    <cacheHierarchy uniqueName="[Measures].[Sum of Quantity]" caption="Sum of Quantity" measure="1" displayFolder="" measureGroup="Table1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 of Total]" caption="Sum of Total" measure="1" displayFolder="" measureGroup="Table1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</cacheHierarchies>
  <kpis count="0"/>
  <dimensions count="2">
    <dimension measure="1" name="Measures" uniqueName="[Measures]" caption="Measures"/>
    <dimension name="Table1" uniqueName="[Table1]" caption="Table1"/>
  </dimensions>
  <measureGroups count="1">
    <measureGroup name="Table1" caption="Table1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969D65-E2CE-480C-BD65-F7E2476837E7}" name="Sales Anlysis by seller" cacheId="42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8">
  <location ref="B3:C9" firstHeaderRow="1" firstDataRow="1" firstDataCol="1"/>
  <pivotFields count="2"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dataField="1" subtotalTop="0" showAll="0" defaultSubtotal="0"/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um of Total" fld="1" baseField="0" baseItem="0"/>
  </dataFields>
  <formats count="1">
    <format dxfId="0">
      <pivotArea collapsedLevelsAreSubtotals="1" fieldPosition="0">
        <references count="1">
          <reference field="0" count="0"/>
        </references>
      </pivotArea>
    </format>
  </format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22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9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roject 1.xlsx!Table1">
        <x15:activeTabTopLevelEntity name="[Table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E9DBBF7-73F7-4DF5-BD2F-00065CB51A51}" name="Sales Anlysis by month" cacheId="96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4">
  <location ref="B2:C20" firstHeaderRow="1" firstDataRow="1" firstDataCol="1"/>
  <pivotFields count="5">
    <pivotField axis="axisRow" allDrilled="1" subtotalTop="0" showAll="0" dataSourceSort="1" defaultSubtotal="0" defaultAttributeDrillState="1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</items>
    </pivotField>
    <pivotField axis="axisRow" allDrilled="1" subtotalTop="0" showAll="0" dataSourceSort="1" defaultSubtotal="0">
      <items count="6">
        <item x="0" e="0"/>
        <item x="1" e="0"/>
        <item x="2" e="0"/>
        <item x="3" e="0"/>
        <item x="4" e="0"/>
        <item x="5" e="0"/>
      </items>
    </pivotField>
    <pivotField axis="axisRow" allDrilled="1" subtotalTop="0" showAll="0" dataSourceSort="1" defaultSubtotal="0">
      <items count="4">
        <item x="0"/>
        <item x="1"/>
        <item x="2" e="0"/>
        <item x="3" e="0"/>
      </items>
    </pivotField>
    <pivotField axis="axisRow" allDrilled="1" subtotalTop="0" showAll="0" sortType="ascending" defaultSubtotal="0">
      <items count="2">
        <item x="0"/>
        <item x="1"/>
      </items>
    </pivotField>
    <pivotField dataField="1" subtotalTop="0" showAll="0" defaultSubtotal="0"/>
  </pivotFields>
  <rowFields count="4">
    <field x="3"/>
    <field x="2"/>
    <field x="1"/>
    <field x="0"/>
  </rowFields>
  <rowItems count="18">
    <i>
      <x/>
    </i>
    <i r="1">
      <x/>
    </i>
    <i r="2">
      <x/>
    </i>
    <i r="2">
      <x v="1"/>
    </i>
    <i r="1">
      <x v="1"/>
    </i>
    <i r="2">
      <x v="2"/>
    </i>
    <i r="2">
      <x v="3"/>
    </i>
    <i r="2">
      <x v="4"/>
    </i>
    <i r="1">
      <x v="2"/>
    </i>
    <i>
      <x v="1"/>
    </i>
    <i r="1">
      <x v="3"/>
    </i>
    <i r="1">
      <x/>
    </i>
    <i r="2">
      <x v="5"/>
    </i>
    <i r="2">
      <x/>
    </i>
    <i r="2">
      <x v="1"/>
    </i>
    <i r="1">
      <x v="1"/>
    </i>
    <i r="2">
      <x v="2"/>
    </i>
    <i t="grand">
      <x/>
    </i>
  </rowItems>
  <colItems count="1">
    <i/>
  </colItems>
  <dataFields count="1">
    <dataField name="Sum of Total" fld="4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22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4">
    <rowHierarchyUsage hierarchyUsage="14"/>
    <rowHierarchyUsage hierarchyUsage="15"/>
    <rowHierarchyUsage hierarchyUsage="16"/>
    <rowHierarchyUsage hierarchyUsage="8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roject 1.xlsx!Table1">
        <x15:activeTabTopLevelEntity name="[Table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299B2AC-E51C-4FA8-8778-1025F6D86719}" name="Sales Anlysis by category" cacheId="45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18">
  <location ref="B2:C6" firstHeaderRow="1" firstDataRow="1" firstDataCol="1"/>
  <pivotFields count="2">
    <pivotField axis="axisRow" allDrilled="1" subtotalTop="0" showAll="0" dataSourceSort="1" defaultSubtotal="0" defaultAttributeDrillState="1">
      <items count="3">
        <item x="0"/>
        <item x="1"/>
        <item x="2"/>
      </items>
    </pivotField>
    <pivotField dataField="1" subtotalTop="0" showAll="0" defaultSubtotal="0"/>
  </pivotFields>
  <rowFields count="1">
    <field x="0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Total" fld="1" baseField="0" baseItem="0"/>
  </dataFields>
  <formats count="1">
    <format dxfId="1">
      <pivotArea collapsedLevelsAreSubtotals="1" fieldPosition="0">
        <references count="1">
          <reference field="0" count="0"/>
        </references>
      </pivotArea>
    </format>
  </formats>
  <chartFormats count="5">
    <chartFormat chart="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22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4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roject 1.xlsx!Table1">
        <x15:activeTabTopLevelEntity name="[Table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FD203AE-5739-4E81-870B-7074040B08F8}" name="Sales Anlysis by product" cacheId="99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6">
  <location ref="B3:C9" firstHeaderRow="1" firstDataRow="1" firstDataCol="1"/>
  <pivotFields count="2">
    <pivotField axis="axisRow" allDrilled="1" subtotalTop="0" showAll="0" sortType="ascending" defaultSubtotal="0" defaultAttributeDrillState="1">
      <items count="5">
        <item x="0"/>
        <item x="1"/>
        <item x="2"/>
        <item x="3"/>
        <item x="4"/>
      </items>
    </pivotField>
    <pivotField dataField="1" subtotalTop="0" showAll="0" defaultSubtotal="0"/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um of Quantity" fld="1" baseField="0" baseItem="0"/>
  </dataFields>
  <chartFormats count="8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8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5" format="9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5" format="10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5" format="1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5" format="12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</chartFormats>
  <pivotHierarchies count="22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roject 1.xlsx!Table1">
        <x15:activeTabTopLevelEntity name="[Table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D6E7092-2E04-4E3D-BF21-62E6A2CD7CC2}" name="Table1" displayName="Table1" ref="C3:P18" totalsRowShown="0" headerRowDxfId="20" dataDxfId="19">
  <autoFilter ref="C3:P18" xr:uid="{5D6E7092-2E04-4E3D-BF21-62E6A2CD7CC2}"/>
  <tableColumns count="14">
    <tableColumn id="1" xr3:uid="{B217AE02-CA6E-47E5-AA55-BEAC0D4F3E64}" name="Order ID" dataDxfId="18"/>
    <tableColumn id="2" xr3:uid="{B3FF03E4-8644-4D51-BEFD-5F431987D9E5}" name="Customer" dataDxfId="17"/>
    <tableColumn id="3" xr3:uid="{E949FA20-939F-4832-A189-8DC8F05470B8}" name="Region" dataDxfId="16"/>
    <tableColumn id="4" xr3:uid="{4D4C373B-A1AC-44C9-A03A-38A72D3C0218}" name="Product" dataDxfId="15"/>
    <tableColumn id="5" xr3:uid="{436BD014-8AF8-4220-82D0-CCC71B20E0EA}" name="Category" dataDxfId="14"/>
    <tableColumn id="6" xr3:uid="{ED42FF88-3B7F-49ED-8B98-21D3819F10A7}" name="Quantity" dataDxfId="13"/>
    <tableColumn id="7" xr3:uid="{B14C1E70-0D4F-4D38-B089-05A1AE5247F7}" name="Unit Price" dataDxfId="7"/>
    <tableColumn id="8" xr3:uid="{9B190FA4-B7FB-457F-93F3-8E34E125FF5B}" name="Total" dataDxfId="5"/>
    <tableColumn id="9" xr3:uid="{42B80C4B-C7D5-4BE0-89DF-61DA442B87E5}" name="Order Date" dataDxfId="6"/>
    <tableColumn id="10" xr3:uid="{81D36830-807C-420F-8D65-39B4F9E906DB}" name="Sales Rep" dataDxfId="4"/>
    <tableColumn id="11" xr3:uid="{DCDF4310-1305-4A3C-A286-51518DE08084}" name="Total2" dataDxfId="2">
      <calculatedColumnFormula>Table1[[#This Row],[Quantity]]*Table1[[#This Row],[Unit Price]]</calculatedColumnFormula>
    </tableColumn>
    <tableColumn id="12" xr3:uid="{BD4055FD-E78C-4E0F-9358-18A8F41290C7}" name="Month " dataDxfId="3">
      <calculatedColumnFormula>MONTH(Table1[[#This Row],[Order Date]])</calculatedColumnFormula>
    </tableColumn>
    <tableColumn id="13" xr3:uid="{A46D920F-E10A-40FD-8B3B-6DBC1F9EBA02}" name="Year" dataDxfId="12">
      <calculatedColumnFormula>YEAR(Table1[[#This Row],[Order Date]])</calculatedColumnFormula>
    </tableColumn>
    <tableColumn id="14" xr3:uid="{E0082D82-006A-4A3A-9524-8E099F1B2671}" name="Target" dataDxfId="11">
      <calculatedColumnFormula>IF(Table1[[#This Row],[Total]]&gt;1000,"It is target","It is not target")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1.xml"/><Relationship Id="rId4" Type="http://schemas.openxmlformats.org/officeDocument/2006/relationships/ctrlProp" Target="../ctrlProps/ctrlProp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47498F-3F2D-4F4D-86F1-354415C4BFE1}">
  <sheetPr>
    <tabColor theme="5" tint="-0.249977111117893"/>
  </sheetPr>
  <dimension ref="C1:P21"/>
  <sheetViews>
    <sheetView rightToLeft="1" topLeftCell="C1" zoomScale="86" zoomScaleNormal="86" workbookViewId="0">
      <selection activeCell="C3" sqref="C3:P18"/>
    </sheetView>
  </sheetViews>
  <sheetFormatPr defaultRowHeight="15" x14ac:dyDescent="0.25"/>
  <cols>
    <col min="2" max="2" width="9.140625" customWidth="1"/>
    <col min="3" max="3" width="18.7109375" customWidth="1"/>
    <col min="4" max="4" width="21.85546875" customWidth="1"/>
    <col min="5" max="5" width="14.7109375" customWidth="1"/>
    <col min="6" max="6" width="16.85546875" customWidth="1"/>
    <col min="7" max="7" width="18.140625" customWidth="1"/>
    <col min="8" max="9" width="18.85546875" customWidth="1"/>
    <col min="10" max="10" width="14.140625" customWidth="1"/>
    <col min="11" max="11" width="18.7109375" customWidth="1"/>
    <col min="12" max="12" width="19" customWidth="1"/>
    <col min="13" max="13" width="16.140625" customWidth="1"/>
    <col min="14" max="14" width="19.42578125" customWidth="1"/>
    <col min="15" max="15" width="20.140625" customWidth="1"/>
    <col min="16" max="16" width="20.42578125" customWidth="1"/>
    <col min="17" max="17" width="19.7109375" customWidth="1"/>
  </cols>
  <sheetData>
    <row r="1" spans="3:16" ht="16.5" customHeight="1" x14ac:dyDescent="0.25">
      <c r="C1" s="5" t="s">
        <v>57</v>
      </c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</row>
    <row r="2" spans="3:16" ht="13.5" customHeight="1" x14ac:dyDescent="0.25"/>
    <row r="3" spans="3:16" ht="19.5" customHeight="1" x14ac:dyDescent="0.25">
      <c r="C3" s="1" t="s">
        <v>0</v>
      </c>
      <c r="D3" s="1" t="s">
        <v>1</v>
      </c>
      <c r="E3" s="1" t="s">
        <v>2</v>
      </c>
      <c r="F3" s="1" t="s">
        <v>3</v>
      </c>
      <c r="G3" s="1" t="s">
        <v>4</v>
      </c>
      <c r="H3" s="1" t="s">
        <v>5</v>
      </c>
      <c r="I3" s="1" t="s">
        <v>6</v>
      </c>
      <c r="J3" s="1" t="s">
        <v>7</v>
      </c>
      <c r="K3" s="1" t="s">
        <v>8</v>
      </c>
      <c r="L3" s="1" t="s">
        <v>9</v>
      </c>
      <c r="M3" s="1" t="s">
        <v>58</v>
      </c>
      <c r="N3" s="1" t="s">
        <v>59</v>
      </c>
      <c r="O3" s="1" t="s">
        <v>60</v>
      </c>
      <c r="P3" s="1" t="s">
        <v>61</v>
      </c>
    </row>
    <row r="4" spans="3:16" x14ac:dyDescent="0.25">
      <c r="C4" s="2" t="s">
        <v>11</v>
      </c>
      <c r="D4" s="2" t="s">
        <v>12</v>
      </c>
      <c r="E4" s="2" t="s">
        <v>13</v>
      </c>
      <c r="F4" s="2" t="s">
        <v>14</v>
      </c>
      <c r="G4" s="2" t="s">
        <v>15</v>
      </c>
      <c r="H4" s="2">
        <v>3</v>
      </c>
      <c r="I4" s="3">
        <v>373.98</v>
      </c>
      <c r="J4" s="9">
        <v>1121.94</v>
      </c>
      <c r="K4" s="4">
        <v>45807</v>
      </c>
      <c r="L4" s="2" t="s">
        <v>16</v>
      </c>
      <c r="M4" s="10">
        <f>Table1[[#This Row],[Quantity]]*Table1[[#This Row],[Unit Price]]</f>
        <v>1121.94</v>
      </c>
      <c r="N4" s="2">
        <f>MONTH(Table1[[#This Row],[Order Date]])</f>
        <v>5</v>
      </c>
      <c r="O4" s="2">
        <f>YEAR(Table1[[#This Row],[Order Date]])</f>
        <v>2025</v>
      </c>
      <c r="P4" s="3" t="str">
        <f>IF(Table1[[#This Row],[Total]]&gt;1000,"It is target","It is not target")</f>
        <v>It is target</v>
      </c>
    </row>
    <row r="5" spans="3:16" ht="24" customHeight="1" x14ac:dyDescent="0.25">
      <c r="C5" s="2" t="s">
        <v>17</v>
      </c>
      <c r="D5" s="2" t="s">
        <v>18</v>
      </c>
      <c r="E5" s="2" t="s">
        <v>19</v>
      </c>
      <c r="F5" s="2" t="s">
        <v>20</v>
      </c>
      <c r="G5" s="2" t="s">
        <v>21</v>
      </c>
      <c r="H5" s="2">
        <v>3</v>
      </c>
      <c r="I5" s="3">
        <v>96.06</v>
      </c>
      <c r="J5" s="9">
        <v>288.18</v>
      </c>
      <c r="K5" s="4">
        <v>45838</v>
      </c>
      <c r="L5" s="2" t="s">
        <v>22</v>
      </c>
      <c r="M5" s="10">
        <f>Table1[[#This Row],[Quantity]]*Table1[[#This Row],[Unit Price]]</f>
        <v>288.18</v>
      </c>
      <c r="N5" s="2">
        <f>MONTH(Table1[[#This Row],[Order Date]])</f>
        <v>6</v>
      </c>
      <c r="O5" s="2">
        <f>YEAR(Table1[[#This Row],[Order Date]])</f>
        <v>2025</v>
      </c>
      <c r="P5" s="3" t="str">
        <f>IF(Table1[[#This Row],[Total]]&gt;1000,"It is target","It is not target")</f>
        <v>It is not target</v>
      </c>
    </row>
    <row r="6" spans="3:16" ht="16.5" customHeight="1" x14ac:dyDescent="0.25">
      <c r="C6" s="2" t="s">
        <v>23</v>
      </c>
      <c r="D6" s="2" t="s">
        <v>24</v>
      </c>
      <c r="E6" s="2" t="s">
        <v>13</v>
      </c>
      <c r="F6" s="2" t="s">
        <v>14</v>
      </c>
      <c r="G6" s="2" t="s">
        <v>15</v>
      </c>
      <c r="H6" s="2">
        <v>8</v>
      </c>
      <c r="I6" s="3">
        <v>214.13</v>
      </c>
      <c r="J6" s="9">
        <v>1713.04</v>
      </c>
      <c r="K6" s="4">
        <v>45868</v>
      </c>
      <c r="L6" s="2" t="s">
        <v>25</v>
      </c>
      <c r="M6" s="10">
        <f>Table1[[#This Row],[Quantity]]*Table1[[#This Row],[Unit Price]]</f>
        <v>1713.04</v>
      </c>
      <c r="N6" s="2">
        <f>MONTH(Table1[[#This Row],[Order Date]])</f>
        <v>7</v>
      </c>
      <c r="O6" s="2">
        <f>YEAR(Table1[[#This Row],[Order Date]])</f>
        <v>2025</v>
      </c>
      <c r="P6" s="3" t="str">
        <f>IF(Table1[[#This Row],[Total]]&gt;1000,"It is target","It is not target")</f>
        <v>It is target</v>
      </c>
    </row>
    <row r="7" spans="3:16" ht="15" customHeight="1" x14ac:dyDescent="0.25">
      <c r="C7" s="2" t="s">
        <v>26</v>
      </c>
      <c r="D7" s="2" t="s">
        <v>27</v>
      </c>
      <c r="E7" s="2" t="s">
        <v>28</v>
      </c>
      <c r="F7" s="2" t="s">
        <v>20</v>
      </c>
      <c r="G7" s="2" t="s">
        <v>21</v>
      </c>
      <c r="H7" s="2">
        <v>6</v>
      </c>
      <c r="I7" s="3">
        <v>395.61</v>
      </c>
      <c r="J7" s="9">
        <v>2373.66</v>
      </c>
      <c r="K7" s="4">
        <v>45899</v>
      </c>
      <c r="L7" s="2" t="s">
        <v>25</v>
      </c>
      <c r="M7" s="10">
        <f>Table1[[#This Row],[Quantity]]*Table1[[#This Row],[Unit Price]]</f>
        <v>2373.66</v>
      </c>
      <c r="N7" s="2">
        <f>MONTH(Table1[[#This Row],[Order Date]])</f>
        <v>8</v>
      </c>
      <c r="O7" s="2">
        <f>YEAR(Table1[[#This Row],[Order Date]])</f>
        <v>2025</v>
      </c>
      <c r="P7" s="3" t="str">
        <f>IF(Table1[[#This Row],[Total]]&gt;1000,"It is target","It is not target")</f>
        <v>It is target</v>
      </c>
    </row>
    <row r="8" spans="3:16" ht="20.25" customHeight="1" x14ac:dyDescent="0.25">
      <c r="C8" s="2" t="s">
        <v>29</v>
      </c>
      <c r="D8" s="2" t="s">
        <v>30</v>
      </c>
      <c r="E8" s="2" t="s">
        <v>31</v>
      </c>
      <c r="F8" s="2" t="s">
        <v>20</v>
      </c>
      <c r="G8" s="2" t="s">
        <v>21</v>
      </c>
      <c r="H8" s="2">
        <v>4</v>
      </c>
      <c r="I8" s="3">
        <v>259.49</v>
      </c>
      <c r="J8" s="9">
        <v>1037.96</v>
      </c>
      <c r="K8" s="4">
        <v>45930</v>
      </c>
      <c r="L8" s="2" t="s">
        <v>16</v>
      </c>
      <c r="M8" s="10">
        <f>Table1[[#This Row],[Quantity]]*Table1[[#This Row],[Unit Price]]</f>
        <v>1037.96</v>
      </c>
      <c r="N8" s="2">
        <f>MONTH(Table1[[#This Row],[Order Date]])</f>
        <v>9</v>
      </c>
      <c r="O8" s="2">
        <f>YEAR(Table1[[#This Row],[Order Date]])</f>
        <v>2025</v>
      </c>
      <c r="P8" s="3" t="str">
        <f>IF(Table1[[#This Row],[Total]]&gt;1000,"It is target","It is not target")</f>
        <v>It is target</v>
      </c>
    </row>
    <row r="9" spans="3:16" ht="20.25" customHeight="1" x14ac:dyDescent="0.25">
      <c r="C9" s="2" t="s">
        <v>32</v>
      </c>
      <c r="D9" s="2" t="s">
        <v>33</v>
      </c>
      <c r="E9" s="2" t="s">
        <v>19</v>
      </c>
      <c r="F9" s="2" t="s">
        <v>34</v>
      </c>
      <c r="G9" s="2" t="s">
        <v>35</v>
      </c>
      <c r="H9" s="2">
        <v>9</v>
      </c>
      <c r="I9" s="3">
        <v>96.78</v>
      </c>
      <c r="J9" s="9">
        <v>871.02</v>
      </c>
      <c r="K9" s="4">
        <v>45960</v>
      </c>
      <c r="L9" s="2" t="s">
        <v>22</v>
      </c>
      <c r="M9" s="10">
        <f>Table1[[#This Row],[Quantity]]*Table1[[#This Row],[Unit Price]]</f>
        <v>871.02</v>
      </c>
      <c r="N9" s="2">
        <f>MONTH(Table1[[#This Row],[Order Date]])</f>
        <v>10</v>
      </c>
      <c r="O9" s="2">
        <f>YEAR(Table1[[#This Row],[Order Date]])</f>
        <v>2025</v>
      </c>
      <c r="P9" s="3" t="str">
        <f>IF(Table1[[#This Row],[Total]]&gt;1000,"It is target","It is not target")</f>
        <v>It is not target</v>
      </c>
    </row>
    <row r="10" spans="3:16" ht="21.75" customHeight="1" x14ac:dyDescent="0.25">
      <c r="C10" s="2" t="s">
        <v>36</v>
      </c>
      <c r="D10" s="2" t="s">
        <v>37</v>
      </c>
      <c r="E10" s="2" t="s">
        <v>19</v>
      </c>
      <c r="F10" s="2" t="s">
        <v>38</v>
      </c>
      <c r="G10" s="2" t="s">
        <v>35</v>
      </c>
      <c r="H10" s="2">
        <v>4</v>
      </c>
      <c r="I10" s="3">
        <v>55.3</v>
      </c>
      <c r="J10" s="9">
        <v>221.2</v>
      </c>
      <c r="K10" s="4">
        <v>45991</v>
      </c>
      <c r="L10" s="2" t="s">
        <v>16</v>
      </c>
      <c r="M10" s="10">
        <f>Table1[[#This Row],[Quantity]]*Table1[[#This Row],[Unit Price]]</f>
        <v>221.2</v>
      </c>
      <c r="N10" s="2">
        <f>MONTH(Table1[[#This Row],[Order Date]])</f>
        <v>11</v>
      </c>
      <c r="O10" s="2">
        <f>YEAR(Table1[[#This Row],[Order Date]])</f>
        <v>2025</v>
      </c>
      <c r="P10" s="3" t="str">
        <f>IF(Table1[[#This Row],[Total]]&gt;1000,"It is target","It is not target")</f>
        <v>It is not target</v>
      </c>
    </row>
    <row r="11" spans="3:16" x14ac:dyDescent="0.25">
      <c r="C11" s="2" t="s">
        <v>39</v>
      </c>
      <c r="D11" s="2" t="s">
        <v>40</v>
      </c>
      <c r="E11" s="2" t="s">
        <v>19</v>
      </c>
      <c r="F11" s="2" t="s">
        <v>38</v>
      </c>
      <c r="G11" s="2" t="s">
        <v>35</v>
      </c>
      <c r="H11" s="2">
        <v>10</v>
      </c>
      <c r="I11" s="3">
        <v>325.17</v>
      </c>
      <c r="J11" s="9">
        <v>3251.7</v>
      </c>
      <c r="K11" s="4">
        <v>46021</v>
      </c>
      <c r="L11" s="2" t="s">
        <v>41</v>
      </c>
      <c r="M11" s="10">
        <f>Table1[[#This Row],[Quantity]]*Table1[[#This Row],[Unit Price]]</f>
        <v>3251.7000000000003</v>
      </c>
      <c r="N11" s="2">
        <f>MONTH(Table1[[#This Row],[Order Date]])</f>
        <v>12</v>
      </c>
      <c r="O11" s="2">
        <f>YEAR(Table1[[#This Row],[Order Date]])</f>
        <v>2025</v>
      </c>
      <c r="P11" s="3" t="str">
        <f>IF(Table1[[#This Row],[Total]]&gt;1000,"It is target","It is not target")</f>
        <v>It is target</v>
      </c>
    </row>
    <row r="12" spans="3:16" x14ac:dyDescent="0.25">
      <c r="C12" s="2" t="s">
        <v>42</v>
      </c>
      <c r="D12" s="2" t="s">
        <v>43</v>
      </c>
      <c r="E12" s="2" t="s">
        <v>31</v>
      </c>
      <c r="F12" s="2" t="s">
        <v>44</v>
      </c>
      <c r="G12" s="2" t="s">
        <v>15</v>
      </c>
      <c r="H12" s="2">
        <v>8</v>
      </c>
      <c r="I12" s="3">
        <v>337.98</v>
      </c>
      <c r="J12" s="9">
        <v>2703.84</v>
      </c>
      <c r="K12" s="4">
        <v>46052</v>
      </c>
      <c r="L12" s="2" t="s">
        <v>45</v>
      </c>
      <c r="M12" s="10">
        <f>Table1[[#This Row],[Quantity]]*Table1[[#This Row],[Unit Price]]</f>
        <v>2703.84</v>
      </c>
      <c r="N12" s="2">
        <f>MONTH(Table1[[#This Row],[Order Date]])</f>
        <v>1</v>
      </c>
      <c r="O12" s="2">
        <f>YEAR(Table1[[#This Row],[Order Date]])</f>
        <v>2026</v>
      </c>
      <c r="P12" s="3" t="str">
        <f>IF(Table1[[#This Row],[Total]]&gt;1000,"It is target","It is not target")</f>
        <v>It is target</v>
      </c>
    </row>
    <row r="13" spans="3:16" x14ac:dyDescent="0.25">
      <c r="C13" s="2" t="s">
        <v>46</v>
      </c>
      <c r="D13" s="2" t="s">
        <v>47</v>
      </c>
      <c r="E13" s="2" t="s">
        <v>13</v>
      </c>
      <c r="F13" s="2" t="s">
        <v>14</v>
      </c>
      <c r="G13" s="2" t="s">
        <v>15</v>
      </c>
      <c r="H13" s="2">
        <v>9</v>
      </c>
      <c r="I13" s="3">
        <v>233.29222222222199</v>
      </c>
      <c r="J13" s="9">
        <v>1262.1600000000001</v>
      </c>
      <c r="K13" s="4">
        <v>46081</v>
      </c>
      <c r="L13" s="2" t="s">
        <v>25</v>
      </c>
      <c r="M13" s="10">
        <f>Table1[[#This Row],[Quantity]]*Table1[[#This Row],[Unit Price]]</f>
        <v>2099.6299999999978</v>
      </c>
      <c r="N13" s="2">
        <f>MONTH(Table1[[#This Row],[Order Date]])</f>
        <v>2</v>
      </c>
      <c r="O13" s="2">
        <f>YEAR(Table1[[#This Row],[Order Date]])</f>
        <v>2026</v>
      </c>
      <c r="P13" s="3" t="str">
        <f>IF(Table1[[#This Row],[Total]]&gt;1000,"It is target","It is not target")</f>
        <v>It is target</v>
      </c>
    </row>
    <row r="14" spans="3:16" ht="15.75" customHeight="1" x14ac:dyDescent="0.25">
      <c r="C14" s="2" t="s">
        <v>48</v>
      </c>
      <c r="D14" s="2" t="s">
        <v>53</v>
      </c>
      <c r="E14" s="2" t="s">
        <v>13</v>
      </c>
      <c r="F14" s="2" t="s">
        <v>14</v>
      </c>
      <c r="G14" s="2" t="s">
        <v>15</v>
      </c>
      <c r="H14" s="2">
        <v>7</v>
      </c>
      <c r="I14" s="3">
        <v>232.072888888889</v>
      </c>
      <c r="J14" s="9">
        <v>2125.8226666666701</v>
      </c>
      <c r="K14" s="4">
        <v>46111</v>
      </c>
      <c r="L14" s="2" t="s">
        <v>16</v>
      </c>
      <c r="M14" s="10">
        <f>Table1[[#This Row],[Quantity]]*Table1[[#This Row],[Unit Price]]</f>
        <v>1624.5102222222231</v>
      </c>
      <c r="N14" s="2">
        <f>MONTH(Table1[[#This Row],[Order Date]])</f>
        <v>3</v>
      </c>
      <c r="O14" s="2">
        <f>YEAR(Table1[[#This Row],[Order Date]])</f>
        <v>2026</v>
      </c>
      <c r="P14" s="3" t="str">
        <f>IF(Table1[[#This Row],[Total]]&gt;1000,"It is target","It is not target")</f>
        <v>It is target</v>
      </c>
    </row>
    <row r="15" spans="3:16" x14ac:dyDescent="0.25">
      <c r="C15" s="2" t="s">
        <v>49</v>
      </c>
      <c r="D15" s="2" t="s">
        <v>10</v>
      </c>
      <c r="E15" s="2" t="s">
        <v>19</v>
      </c>
      <c r="F15" s="2" t="s">
        <v>20</v>
      </c>
      <c r="G15" s="2" t="s">
        <v>21</v>
      </c>
      <c r="H15" s="2">
        <v>5</v>
      </c>
      <c r="I15" s="3">
        <v>230.853555555556</v>
      </c>
      <c r="J15" s="9">
        <v>2242.43224242424</v>
      </c>
      <c r="K15" s="4">
        <v>46142</v>
      </c>
      <c r="L15" s="2" t="s">
        <v>22</v>
      </c>
      <c r="M15" s="10">
        <f>Table1[[#This Row],[Quantity]]*Table1[[#This Row],[Unit Price]]</f>
        <v>1154.2677777777799</v>
      </c>
      <c r="N15" s="2">
        <f>MONTH(Table1[[#This Row],[Order Date]])</f>
        <v>4</v>
      </c>
      <c r="O15" s="2">
        <f>YEAR(Table1[[#This Row],[Order Date]])</f>
        <v>2026</v>
      </c>
      <c r="P15" s="3" t="str">
        <f>IF(Table1[[#This Row],[Total]]&gt;1000,"It is target","It is not target")</f>
        <v>It is target</v>
      </c>
    </row>
    <row r="16" spans="3:16" x14ac:dyDescent="0.25">
      <c r="C16" s="2" t="s">
        <v>50</v>
      </c>
      <c r="D16" s="2" t="s">
        <v>55</v>
      </c>
      <c r="E16" s="2" t="s">
        <v>13</v>
      </c>
      <c r="F16" s="2" t="s">
        <v>14</v>
      </c>
      <c r="G16" s="2" t="s">
        <v>15</v>
      </c>
      <c r="H16" s="2">
        <v>12</v>
      </c>
      <c r="I16" s="3">
        <v>229.63422222222201</v>
      </c>
      <c r="J16" s="9">
        <v>2359.04181818182</v>
      </c>
      <c r="K16" s="4">
        <v>46172</v>
      </c>
      <c r="L16" s="2" t="s">
        <v>25</v>
      </c>
      <c r="M16" s="10">
        <f>Table1[[#This Row],[Quantity]]*Table1[[#This Row],[Unit Price]]</f>
        <v>2755.6106666666642</v>
      </c>
      <c r="N16" s="2">
        <f>MONTH(Table1[[#This Row],[Order Date]])</f>
        <v>5</v>
      </c>
      <c r="O16" s="2">
        <f>YEAR(Table1[[#This Row],[Order Date]])</f>
        <v>2026</v>
      </c>
      <c r="P16" s="3" t="str">
        <f>IF(Table1[[#This Row],[Total]]&gt;1000,"It is target","It is not target")</f>
        <v>It is target</v>
      </c>
    </row>
    <row r="17" spans="3:16" ht="16.5" customHeight="1" x14ac:dyDescent="0.25">
      <c r="C17" s="2" t="s">
        <v>51</v>
      </c>
      <c r="D17" s="2" t="s">
        <v>54</v>
      </c>
      <c r="E17" s="2" t="s">
        <v>28</v>
      </c>
      <c r="F17" s="2" t="s">
        <v>20</v>
      </c>
      <c r="G17" s="2" t="s">
        <v>21</v>
      </c>
      <c r="H17" s="2">
        <v>15</v>
      </c>
      <c r="I17" s="3">
        <v>228.41488888888901</v>
      </c>
      <c r="J17" s="9">
        <v>2475.6513939393999</v>
      </c>
      <c r="K17" s="4">
        <v>46203</v>
      </c>
      <c r="L17" s="2" t="s">
        <v>25</v>
      </c>
      <c r="M17" s="10">
        <f>Table1[[#This Row],[Quantity]]*Table1[[#This Row],[Unit Price]]</f>
        <v>3426.2233333333352</v>
      </c>
      <c r="N17" s="2">
        <f>MONTH(Table1[[#This Row],[Order Date]])</f>
        <v>6</v>
      </c>
      <c r="O17" s="2">
        <f>YEAR(Table1[[#This Row],[Order Date]])</f>
        <v>2026</v>
      </c>
      <c r="P17" s="3" t="str">
        <f>IF(Table1[[#This Row],[Total]]&gt;1000,"It is target","It is not target")</f>
        <v>It is target</v>
      </c>
    </row>
    <row r="18" spans="3:16" ht="16.5" customHeight="1" x14ac:dyDescent="0.25">
      <c r="C18" s="2" t="s">
        <v>52</v>
      </c>
      <c r="D18" s="2" t="s">
        <v>56</v>
      </c>
      <c r="E18" s="2" t="s">
        <v>31</v>
      </c>
      <c r="F18" s="2" t="s">
        <v>20</v>
      </c>
      <c r="G18" s="2" t="s">
        <v>21</v>
      </c>
      <c r="H18" s="2">
        <v>18</v>
      </c>
      <c r="I18" s="3">
        <v>227.19555555555601</v>
      </c>
      <c r="J18" s="9">
        <v>2592.2609696969698</v>
      </c>
      <c r="K18" s="4">
        <v>46233</v>
      </c>
      <c r="L18" s="2" t="s">
        <v>16</v>
      </c>
      <c r="M18" s="10">
        <f>Table1[[#This Row],[Quantity]]*Table1[[#This Row],[Unit Price]]</f>
        <v>4089.5200000000082</v>
      </c>
      <c r="N18" s="2">
        <f>MONTH(Table1[[#This Row],[Order Date]])</f>
        <v>7</v>
      </c>
      <c r="O18" s="2">
        <f>YEAR(Table1[[#This Row],[Order Date]])</f>
        <v>2026</v>
      </c>
      <c r="P18" s="3" t="str">
        <f>IF(Table1[[#This Row],[Total]]&gt;1000,"It is target","It is not target")</f>
        <v>It is target</v>
      </c>
    </row>
    <row r="19" spans="3:16" x14ac:dyDescent="0.25">
      <c r="C19" s="2"/>
      <c r="H19" s="2"/>
    </row>
    <row r="20" spans="3:16" x14ac:dyDescent="0.25">
      <c r="C20" s="2"/>
    </row>
    <row r="21" spans="3:16" x14ac:dyDescent="0.25">
      <c r="C21" s="2"/>
    </row>
  </sheetData>
  <mergeCells count="1">
    <mergeCell ref="C1:P1"/>
  </mergeCells>
  <phoneticPr fontId="2" type="noConversion"/>
  <conditionalFormatting sqref="P4:P18">
    <cfRule type="cellIs" dxfId="10" priority="2" operator="equal">
      <formula>"It is target"</formula>
    </cfRule>
    <cfRule type="cellIs" dxfId="9" priority="3" operator="equal">
      <formula>"It is not target"</formula>
    </cfRule>
  </conditionalFormatting>
  <conditionalFormatting sqref="H4:H18">
    <cfRule type="cellIs" dxfId="8" priority="1" operator="lessThan">
      <formula>7</formula>
    </cfRule>
  </conditionalFormatting>
  <pageMargins left="0.7" right="0.7" top="0.75" bottom="0.75" header="0.3" footer="0.3"/>
  <pageSetup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5" r:id="rId4" name="Button 1">
              <controlPr defaultSize="0" print="0" autoFill="0" autoPict="0">
                <anchor moveWithCells="1">
                  <from>
                    <xdr:col>7</xdr:col>
                    <xdr:colOff>561975</xdr:colOff>
                    <xdr:row>16</xdr:row>
                    <xdr:rowOff>0</xdr:rowOff>
                  </from>
                  <to>
                    <xdr:col>7</xdr:col>
                    <xdr:colOff>1133475</xdr:colOff>
                    <xdr:row>17</xdr:row>
                    <xdr:rowOff>28575</xdr:rowOff>
                  </to>
                </anchor>
              </controlPr>
            </control>
          </mc:Choice>
        </mc:AlternateContent>
      </controls>
    </mc:Choice>
  </mc:AlternateContent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68BF8-228B-46EF-ABD4-89EE03BC5E3A}">
  <sheetPr>
    <tabColor theme="6"/>
  </sheetPr>
  <dimension ref="B3:C9"/>
  <sheetViews>
    <sheetView rightToLeft="1" workbookViewId="0">
      <selection activeCell="E19" sqref="E19"/>
    </sheetView>
  </sheetViews>
  <sheetFormatPr defaultRowHeight="15" x14ac:dyDescent="0.25"/>
  <cols>
    <col min="2" max="2" width="13.140625" bestFit="1" customWidth="1"/>
    <col min="3" max="3" width="12" bestFit="1" customWidth="1"/>
  </cols>
  <sheetData>
    <row r="3" spans="2:3" x14ac:dyDescent="0.25">
      <c r="B3" s="6" t="s">
        <v>62</v>
      </c>
      <c r="C3" t="s">
        <v>65</v>
      </c>
    </row>
    <row r="4" spans="2:3" x14ac:dyDescent="0.25">
      <c r="B4" s="7" t="s">
        <v>22</v>
      </c>
      <c r="C4" s="11">
        <v>3401.6322424242398</v>
      </c>
    </row>
    <row r="5" spans="2:3" x14ac:dyDescent="0.25">
      <c r="B5" s="7" t="s">
        <v>45</v>
      </c>
      <c r="C5" s="11">
        <v>2703.84</v>
      </c>
    </row>
    <row r="6" spans="2:3" x14ac:dyDescent="0.25">
      <c r="B6" s="7" t="s">
        <v>16</v>
      </c>
      <c r="C6" s="11">
        <v>7099.1836363636394</v>
      </c>
    </row>
    <row r="7" spans="2:3" x14ac:dyDescent="0.25">
      <c r="B7" s="7" t="s">
        <v>41</v>
      </c>
      <c r="C7" s="11">
        <v>3251.7</v>
      </c>
    </row>
    <row r="8" spans="2:3" x14ac:dyDescent="0.25">
      <c r="B8" s="7" t="s">
        <v>25</v>
      </c>
      <c r="C8" s="11">
        <v>10183.55321212122</v>
      </c>
    </row>
    <row r="9" spans="2:3" x14ac:dyDescent="0.25">
      <c r="B9" s="7" t="s">
        <v>63</v>
      </c>
      <c r="C9" s="8">
        <v>26639.909090909096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571001-D7B5-4A4D-8F73-FE77815E5AFE}">
  <sheetPr>
    <tabColor rgb="FF7030A0"/>
  </sheetPr>
  <dimension ref="B2:C20"/>
  <sheetViews>
    <sheetView rightToLeft="1" workbookViewId="0">
      <selection activeCell="E3" sqref="E3"/>
    </sheetView>
  </sheetViews>
  <sheetFormatPr defaultRowHeight="15" x14ac:dyDescent="0.25"/>
  <cols>
    <col min="2" max="2" width="13.140625" bestFit="1" customWidth="1"/>
    <col min="3" max="3" width="12" bestFit="1" customWidth="1"/>
  </cols>
  <sheetData>
    <row r="2" spans="2:3" x14ac:dyDescent="0.25">
      <c r="B2" s="6" t="s">
        <v>62</v>
      </c>
      <c r="C2" t="s">
        <v>65</v>
      </c>
    </row>
    <row r="3" spans="2:3" x14ac:dyDescent="0.25">
      <c r="B3" s="7" t="s">
        <v>66</v>
      </c>
      <c r="C3" s="8"/>
    </row>
    <row r="4" spans="2:3" x14ac:dyDescent="0.25">
      <c r="B4" s="12" t="s">
        <v>67</v>
      </c>
      <c r="C4" s="8"/>
    </row>
    <row r="5" spans="2:3" x14ac:dyDescent="0.25">
      <c r="B5" s="13" t="s">
        <v>68</v>
      </c>
      <c r="C5" s="8">
        <v>1121.94</v>
      </c>
    </row>
    <row r="6" spans="2:3" x14ac:dyDescent="0.25">
      <c r="B6" s="13" t="s">
        <v>69</v>
      </c>
      <c r="C6" s="8">
        <v>288.18</v>
      </c>
    </row>
    <row r="7" spans="2:3" x14ac:dyDescent="0.25">
      <c r="B7" s="12" t="s">
        <v>70</v>
      </c>
      <c r="C7" s="8"/>
    </row>
    <row r="8" spans="2:3" x14ac:dyDescent="0.25">
      <c r="B8" s="13" t="s">
        <v>71</v>
      </c>
      <c r="C8" s="8">
        <v>1713.04</v>
      </c>
    </row>
    <row r="9" spans="2:3" x14ac:dyDescent="0.25">
      <c r="B9" s="13" t="s">
        <v>72</v>
      </c>
      <c r="C9" s="8">
        <v>2373.66</v>
      </c>
    </row>
    <row r="10" spans="2:3" x14ac:dyDescent="0.25">
      <c r="B10" s="13" t="s">
        <v>73</v>
      </c>
      <c r="C10" s="8">
        <v>1037.96</v>
      </c>
    </row>
    <row r="11" spans="2:3" x14ac:dyDescent="0.25">
      <c r="B11" s="12" t="s">
        <v>74</v>
      </c>
      <c r="C11" s="8">
        <v>4343.92</v>
      </c>
    </row>
    <row r="12" spans="2:3" x14ac:dyDescent="0.25">
      <c r="B12" s="7" t="s">
        <v>75</v>
      </c>
      <c r="C12" s="8"/>
    </row>
    <row r="13" spans="2:3" x14ac:dyDescent="0.25">
      <c r="B13" s="12" t="s">
        <v>76</v>
      </c>
      <c r="C13" s="8">
        <v>6091.8226666666706</v>
      </c>
    </row>
    <row r="14" spans="2:3" x14ac:dyDescent="0.25">
      <c r="B14" s="12" t="s">
        <v>67</v>
      </c>
      <c r="C14" s="8"/>
    </row>
    <row r="15" spans="2:3" x14ac:dyDescent="0.25">
      <c r="B15" s="13" t="s">
        <v>77</v>
      </c>
      <c r="C15" s="8">
        <v>2242.43224242424</v>
      </c>
    </row>
    <row r="16" spans="2:3" x14ac:dyDescent="0.25">
      <c r="B16" s="13" t="s">
        <v>68</v>
      </c>
      <c r="C16" s="8">
        <v>2359.04181818182</v>
      </c>
    </row>
    <row r="17" spans="2:3" x14ac:dyDescent="0.25">
      <c r="B17" s="13" t="s">
        <v>69</v>
      </c>
      <c r="C17" s="8">
        <v>2475.6513939393999</v>
      </c>
    </row>
    <row r="18" spans="2:3" x14ac:dyDescent="0.25">
      <c r="B18" s="12" t="s">
        <v>70</v>
      </c>
      <c r="C18" s="8"/>
    </row>
    <row r="19" spans="2:3" x14ac:dyDescent="0.25">
      <c r="B19" s="13" t="s">
        <v>71</v>
      </c>
      <c r="C19" s="8">
        <v>2592.2609696969698</v>
      </c>
    </row>
    <row r="20" spans="2:3" x14ac:dyDescent="0.25">
      <c r="B20" s="7" t="s">
        <v>63</v>
      </c>
      <c r="C20" s="8">
        <v>26639.909090909096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8CE50-FA98-498F-994B-2E4B2DDE5706}">
  <sheetPr>
    <tabColor theme="7" tint="0.39997558519241921"/>
  </sheetPr>
  <dimension ref="B2:C6"/>
  <sheetViews>
    <sheetView rightToLeft="1" workbookViewId="0">
      <selection activeCell="B5" sqref="B5"/>
    </sheetView>
  </sheetViews>
  <sheetFormatPr defaultRowHeight="15" x14ac:dyDescent="0.25"/>
  <cols>
    <col min="2" max="2" width="13.140625" bestFit="1" customWidth="1"/>
    <col min="3" max="3" width="12" bestFit="1" customWidth="1"/>
  </cols>
  <sheetData>
    <row r="2" spans="2:3" x14ac:dyDescent="0.25">
      <c r="B2" s="6" t="s">
        <v>62</v>
      </c>
      <c r="C2" t="s">
        <v>65</v>
      </c>
    </row>
    <row r="3" spans="2:3" x14ac:dyDescent="0.25">
      <c r="B3" s="7" t="s">
        <v>15</v>
      </c>
      <c r="C3" s="11">
        <v>11285.844484848491</v>
      </c>
    </row>
    <row r="4" spans="2:3" x14ac:dyDescent="0.25">
      <c r="B4" s="7" t="s">
        <v>35</v>
      </c>
      <c r="C4" s="11">
        <v>4343.92</v>
      </c>
    </row>
    <row r="5" spans="2:3" x14ac:dyDescent="0.25">
      <c r="B5" s="7" t="s">
        <v>21</v>
      </c>
      <c r="C5" s="11">
        <v>11010.14460606061</v>
      </c>
    </row>
    <row r="6" spans="2:3" x14ac:dyDescent="0.25">
      <c r="B6" s="7" t="s">
        <v>63</v>
      </c>
      <c r="C6" s="8">
        <v>26639.909090909096</v>
      </c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004C2-4009-4BDA-9DAA-96ED205FA85E}">
  <sheetPr>
    <tabColor theme="1"/>
  </sheetPr>
  <dimension ref="A1"/>
  <sheetViews>
    <sheetView showGridLines="0" rightToLeft="1" tabSelected="1" zoomScale="70" zoomScaleNormal="70" workbookViewId="0">
      <selection activeCell="H33" sqref="H33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09D3B8-6E7A-47C2-94CC-E0DDE18EE06A}">
  <sheetPr>
    <tabColor theme="4" tint="-0.249977111117893"/>
  </sheetPr>
  <dimension ref="B3:C9"/>
  <sheetViews>
    <sheetView rightToLeft="1" workbookViewId="0">
      <selection activeCell="G6" sqref="G6"/>
    </sheetView>
  </sheetViews>
  <sheetFormatPr defaultRowHeight="15" x14ac:dyDescent="0.25"/>
  <cols>
    <col min="2" max="2" width="13.140625" bestFit="1" customWidth="1"/>
    <col min="3" max="3" width="15.42578125" bestFit="1" customWidth="1"/>
  </cols>
  <sheetData>
    <row r="3" spans="2:3" x14ac:dyDescent="0.25">
      <c r="B3" s="6" t="s">
        <v>62</v>
      </c>
      <c r="C3" t="s">
        <v>64</v>
      </c>
    </row>
    <row r="4" spans="2:3" x14ac:dyDescent="0.25">
      <c r="B4" s="7" t="s">
        <v>38</v>
      </c>
      <c r="C4" s="8">
        <v>14</v>
      </c>
    </row>
    <row r="5" spans="2:3" x14ac:dyDescent="0.25">
      <c r="B5" s="7" t="s">
        <v>44</v>
      </c>
      <c r="C5" s="8">
        <v>8</v>
      </c>
    </row>
    <row r="6" spans="2:3" x14ac:dyDescent="0.25">
      <c r="B6" s="7" t="s">
        <v>34</v>
      </c>
      <c r="C6" s="8">
        <v>9</v>
      </c>
    </row>
    <row r="7" spans="2:3" x14ac:dyDescent="0.25">
      <c r="B7" s="7" t="s">
        <v>14</v>
      </c>
      <c r="C7" s="8">
        <v>39</v>
      </c>
    </row>
    <row r="8" spans="2:3" x14ac:dyDescent="0.25">
      <c r="B8" s="7" t="s">
        <v>20</v>
      </c>
      <c r="C8" s="8">
        <v>51</v>
      </c>
    </row>
    <row r="9" spans="2:3" x14ac:dyDescent="0.25">
      <c r="B9" s="7" t="s">
        <v>63</v>
      </c>
      <c r="C9" s="8">
        <v>121</v>
      </c>
    </row>
  </sheetData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Main</vt:lpstr>
      <vt:lpstr>Sales Anlysis by seller</vt:lpstr>
      <vt:lpstr>Sales Anlysis by months</vt:lpstr>
      <vt:lpstr>Sales Anlysis by category</vt:lpstr>
      <vt:lpstr>Dashbord</vt:lpstr>
      <vt:lpstr>Sales Anlysis by product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esraa_yaser</dc:creator>
  <cp:lastModifiedBy>neromax2021@gmail.com</cp:lastModifiedBy>
  <dcterms:created xsi:type="dcterms:W3CDTF">2015-06-05T18:17:20Z</dcterms:created>
  <dcterms:modified xsi:type="dcterms:W3CDTF">2025-07-31T07:43:48Z</dcterms:modified>
</cp:coreProperties>
</file>