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mc:AlternateContent xmlns:mc="http://schemas.openxmlformats.org/markup-compatibility/2006">
    <mc:Choice Requires="x15">
      <x15ac:absPath xmlns:x15ac="http://schemas.microsoft.com/office/spreadsheetml/2010/11/ac" url="E:\Esso\Excel course\Project 3\"/>
    </mc:Choice>
  </mc:AlternateContent>
  <xr:revisionPtr revIDLastSave="0" documentId="13_ncr:1_{CE1EFE4D-A276-4F2A-AFE8-EC9157617E9E}" xr6:coauthVersionLast="47" xr6:coauthVersionMax="47" xr10:uidLastSave="{00000000-0000-0000-0000-000000000000}"/>
  <bookViews>
    <workbookView xWindow="-120" yWindow="-120" windowWidth="20730" windowHeight="11160" activeTab="4" xr2:uid="{00000000-000D-0000-FFFF-FFFF00000000}"/>
  </bookViews>
  <sheets>
    <sheet name="Sheet1" sheetId="1" r:id="rId1"/>
    <sheet name="Attendance statistics for each " sheetId="18" r:id="rId2"/>
    <sheet name="Student statistics by date" sheetId="17" r:id="rId3"/>
    <sheet name="Grade" sheetId="14" r:id="rId4"/>
    <sheet name="Dashboard" sheetId="16" r:id="rId5"/>
    <sheet name="Average grades for each subject" sheetId="3" r:id="rId6"/>
    <sheet name="Success and failure rate" sheetId="12" r:id="rId7"/>
    <sheet name="Attendece" sheetId="15" r:id="rId8"/>
    <sheet name="Top 10 Students" sheetId="5" r:id="rId9"/>
  </sheets>
  <definedNames>
    <definedName name="_xlchart.v2.0" hidden="1">'Top 10 Students'!$A$2:$A$12</definedName>
    <definedName name="_xlchart.v2.1" hidden="1">'Top 10 Students'!$B$2:$B$12</definedName>
    <definedName name="_xlchart.v2.2" hidden="1">'Top 10 Students'!$A$2:$A$12</definedName>
    <definedName name="_xlchart.v2.3" hidden="1">'Top 10 Students'!$B$2:$B$12</definedName>
    <definedName name="_xlchart.v2.4" hidden="1">'Top 10 Students'!$A$2:$A$12</definedName>
    <definedName name="_xlchart.v2.5" hidden="1">'Top 10 Students'!$B$2:$B$12</definedName>
    <definedName name="_xlcn.WorksheetConnection_Education_Dashboard_Dataset.xlsxTable21" hidden="1">Table2[]</definedName>
    <definedName name="Slicer_Attendance">#N/A</definedName>
    <definedName name="Slicer_Score">#N/A</definedName>
    <definedName name="Slicer_Subject">#N/A</definedName>
  </definedNames>
  <calcPr calcId="191029"/>
  <pivotCaches>
    <pivotCache cacheId="315" r:id="rId10"/>
    <pivotCache cacheId="303" r:id="rId11"/>
    <pivotCache cacheId="305" r:id="rId12"/>
    <pivotCache cacheId="307" r:id="rId13"/>
    <pivotCache cacheId="309" r:id="rId14"/>
    <pivotCache cacheId="311" r:id="rId15"/>
    <pivotCache cacheId="313" r:id="rId16"/>
  </pivotCaches>
  <extLst>
    <ext xmlns:x14="http://schemas.microsoft.com/office/spreadsheetml/2009/9/main" uri="{876F7934-8845-4945-9796-88D515C7AA90}">
      <x14:pivotCaches>
        <pivotCache cacheId="249"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Education_Dashboard_Dataset.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2" i="1" l="1"/>
  <c r="N102" i="1"/>
  <c r="O10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P102" i="1" l="1"/>
  <c r="P61" i="1"/>
  <c r="P2" i="1"/>
  <c r="P97" i="1"/>
  <c r="P85" i="1"/>
  <c r="P73" i="1"/>
  <c r="P65" i="1"/>
  <c r="P53" i="1"/>
  <c r="P45" i="1"/>
  <c r="P37" i="1"/>
  <c r="P29" i="1"/>
  <c r="P21" i="1"/>
  <c r="P13" i="1"/>
  <c r="P5" i="1"/>
  <c r="P100" i="1"/>
  <c r="P96" i="1"/>
  <c r="P92" i="1"/>
  <c r="P88" i="1"/>
  <c r="P84" i="1"/>
  <c r="P80" i="1"/>
  <c r="P76" i="1"/>
  <c r="P72" i="1"/>
  <c r="P68" i="1"/>
  <c r="P64" i="1"/>
  <c r="P60" i="1"/>
  <c r="P56" i="1"/>
  <c r="P52" i="1"/>
  <c r="P48" i="1"/>
  <c r="P44" i="1"/>
  <c r="P40" i="1"/>
  <c r="P36" i="1"/>
  <c r="P32" i="1"/>
  <c r="P28" i="1"/>
  <c r="P24" i="1"/>
  <c r="P20" i="1"/>
  <c r="P16" i="1"/>
  <c r="P12" i="1"/>
  <c r="P8" i="1"/>
  <c r="P4" i="1"/>
  <c r="P93" i="1"/>
  <c r="P81" i="1"/>
  <c r="P69" i="1"/>
  <c r="P57" i="1"/>
  <c r="P49" i="1"/>
  <c r="P41" i="1"/>
  <c r="P33" i="1"/>
  <c r="P25" i="1"/>
  <c r="P17" i="1"/>
  <c r="P9" i="1"/>
  <c r="P99" i="1"/>
  <c r="P95" i="1"/>
  <c r="P91" i="1"/>
  <c r="P87" i="1"/>
  <c r="P83" i="1"/>
  <c r="P79" i="1"/>
  <c r="P75" i="1"/>
  <c r="P71" i="1"/>
  <c r="P67" i="1"/>
  <c r="P63" i="1"/>
  <c r="P59" i="1"/>
  <c r="P55" i="1"/>
  <c r="P51" i="1"/>
  <c r="P47" i="1"/>
  <c r="P43" i="1"/>
  <c r="P39" i="1"/>
  <c r="P35" i="1"/>
  <c r="P31" i="1"/>
  <c r="P27" i="1"/>
  <c r="P23" i="1"/>
  <c r="P19" i="1"/>
  <c r="P15" i="1"/>
  <c r="P11" i="1"/>
  <c r="P7" i="1"/>
  <c r="P3" i="1"/>
  <c r="P101" i="1"/>
  <c r="P89" i="1"/>
  <c r="P77" i="1"/>
  <c r="P98" i="1"/>
  <c r="P94" i="1"/>
  <c r="P90" i="1"/>
  <c r="P86" i="1"/>
  <c r="P82" i="1"/>
  <c r="P78" i="1"/>
  <c r="P74" i="1"/>
  <c r="P70" i="1"/>
  <c r="P66" i="1"/>
  <c r="P62" i="1"/>
  <c r="P58" i="1"/>
  <c r="P54" i="1"/>
  <c r="P50" i="1"/>
  <c r="P46" i="1"/>
  <c r="P42" i="1"/>
  <c r="P38" i="1"/>
  <c r="P34" i="1"/>
  <c r="P30" i="1"/>
  <c r="P26" i="1"/>
  <c r="P22" i="1"/>
  <c r="P18" i="1"/>
  <c r="P14" i="1"/>
  <c r="P10" i="1"/>
  <c r="P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7D9E1E-CA16-444D-8EB7-7670A2FBE05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A705498-8B65-4D74-8EE6-499D6703FE0C}" name="WorksheetConnection_Education_Dashboard_Dataset.xlsx!Table2" type="102" refreshedVersion="7" minRefreshableVersion="5">
    <extLst>
      <ext xmlns:x15="http://schemas.microsoft.com/office/spreadsheetml/2010/11/main" uri="{DE250136-89BD-433C-8126-D09CA5730AF9}">
        <x15:connection id="Table2" autoDelete="1">
          <x15:rangePr sourceName="_xlcn.WorksheetConnection_Education_Dashboard_Dataset.xlsxTable21"/>
        </x15:connection>
      </ext>
    </extLst>
  </connection>
</connections>
</file>

<file path=xl/sharedStrings.xml><?xml version="1.0" encoding="utf-8"?>
<sst xmlns="http://schemas.openxmlformats.org/spreadsheetml/2006/main" count="994" uniqueCount="359">
  <si>
    <t>StudentID</t>
  </si>
  <si>
    <t>Name</t>
  </si>
  <si>
    <t>Gender</t>
  </si>
  <si>
    <t>Age</t>
  </si>
  <si>
    <t>Department</t>
  </si>
  <si>
    <t>Subject</t>
  </si>
  <si>
    <t>ExamDate</t>
  </si>
  <si>
    <t>Score</t>
  </si>
  <si>
    <t>Attendance%</t>
  </si>
  <si>
    <t>Grade</t>
  </si>
  <si>
    <t>Semester</t>
  </si>
  <si>
    <t>City</t>
  </si>
  <si>
    <t>Student_1</t>
  </si>
  <si>
    <t>Student_2</t>
  </si>
  <si>
    <t>Student_3</t>
  </si>
  <si>
    <t>Student_4</t>
  </si>
  <si>
    <t>Student_5</t>
  </si>
  <si>
    <t>Student_6</t>
  </si>
  <si>
    <t>Student_7</t>
  </si>
  <si>
    <t>Student_8</t>
  </si>
  <si>
    <t>Student_9</t>
  </si>
  <si>
    <t>Student_10</t>
  </si>
  <si>
    <t>Student_11</t>
  </si>
  <si>
    <t>Student_12</t>
  </si>
  <si>
    <t>Student_13</t>
  </si>
  <si>
    <t>Student_14</t>
  </si>
  <si>
    <t>Student_15</t>
  </si>
  <si>
    <t>Student_16</t>
  </si>
  <si>
    <t>Student_17</t>
  </si>
  <si>
    <t>Student_18</t>
  </si>
  <si>
    <t>Student_19</t>
  </si>
  <si>
    <t>Student_20</t>
  </si>
  <si>
    <t>Student_21</t>
  </si>
  <si>
    <t>Student_22</t>
  </si>
  <si>
    <t>Student_23</t>
  </si>
  <si>
    <t>Student_24</t>
  </si>
  <si>
    <t>Student_25</t>
  </si>
  <si>
    <t>Student_26</t>
  </si>
  <si>
    <t>Student_27</t>
  </si>
  <si>
    <t>Student_28</t>
  </si>
  <si>
    <t>Student_29</t>
  </si>
  <si>
    <t>Student_30</t>
  </si>
  <si>
    <t>Student_31</t>
  </si>
  <si>
    <t>Student_32</t>
  </si>
  <si>
    <t>Student_33</t>
  </si>
  <si>
    <t>Student_34</t>
  </si>
  <si>
    <t>Student_35</t>
  </si>
  <si>
    <t>Student_36</t>
  </si>
  <si>
    <t>Student_37</t>
  </si>
  <si>
    <t>Student_38</t>
  </si>
  <si>
    <t>Student_39</t>
  </si>
  <si>
    <t>Student_40</t>
  </si>
  <si>
    <t>Student_41</t>
  </si>
  <si>
    <t>Student_42</t>
  </si>
  <si>
    <t>Student_43</t>
  </si>
  <si>
    <t>Student_44</t>
  </si>
  <si>
    <t>Student_45</t>
  </si>
  <si>
    <t>Student_46</t>
  </si>
  <si>
    <t>Student_47</t>
  </si>
  <si>
    <t>Student_48</t>
  </si>
  <si>
    <t>Student_49</t>
  </si>
  <si>
    <t>Student_50</t>
  </si>
  <si>
    <t>Student_51</t>
  </si>
  <si>
    <t>Student_52</t>
  </si>
  <si>
    <t>Student_53</t>
  </si>
  <si>
    <t>Student_54</t>
  </si>
  <si>
    <t>Student_55</t>
  </si>
  <si>
    <t>Student_56</t>
  </si>
  <si>
    <t>Student_57</t>
  </si>
  <si>
    <t>Student_58</t>
  </si>
  <si>
    <t>Student_59</t>
  </si>
  <si>
    <t>Student_60</t>
  </si>
  <si>
    <t>Student_61</t>
  </si>
  <si>
    <t>Student_62</t>
  </si>
  <si>
    <t>Student_63</t>
  </si>
  <si>
    <t>Student_64</t>
  </si>
  <si>
    <t>Student_65</t>
  </si>
  <si>
    <t>Student_66</t>
  </si>
  <si>
    <t>Student_67</t>
  </si>
  <si>
    <t>Student_68</t>
  </si>
  <si>
    <t>Student_69</t>
  </si>
  <si>
    <t>Student_70</t>
  </si>
  <si>
    <t>Student_71</t>
  </si>
  <si>
    <t>Student_72</t>
  </si>
  <si>
    <t>Student_73</t>
  </si>
  <si>
    <t>Student_74</t>
  </si>
  <si>
    <t>Student_75</t>
  </si>
  <si>
    <t>Student_76</t>
  </si>
  <si>
    <t>Student_77</t>
  </si>
  <si>
    <t>Student_78</t>
  </si>
  <si>
    <t>Student_79</t>
  </si>
  <si>
    <t>Student_80</t>
  </si>
  <si>
    <t>Student_81</t>
  </si>
  <si>
    <t>Student_82</t>
  </si>
  <si>
    <t>Student_83</t>
  </si>
  <si>
    <t>Student_84</t>
  </si>
  <si>
    <t>Student_85</t>
  </si>
  <si>
    <t>Student_86</t>
  </si>
  <si>
    <t>Student_87</t>
  </si>
  <si>
    <t>Student_88</t>
  </si>
  <si>
    <t>Student_89</t>
  </si>
  <si>
    <t>Student_90</t>
  </si>
  <si>
    <t>Student_91</t>
  </si>
  <si>
    <t>Student_92</t>
  </si>
  <si>
    <t>Student_93</t>
  </si>
  <si>
    <t>Student_94</t>
  </si>
  <si>
    <t>Student_95</t>
  </si>
  <si>
    <t>Student_96</t>
  </si>
  <si>
    <t>Student_97</t>
  </si>
  <si>
    <t>Student_98</t>
  </si>
  <si>
    <t>Student_99</t>
  </si>
  <si>
    <t>Student_100</t>
  </si>
  <si>
    <t>F</t>
  </si>
  <si>
    <t>M</t>
  </si>
  <si>
    <t>ComputerSci</t>
  </si>
  <si>
    <t>Business</t>
  </si>
  <si>
    <t>Engineering</t>
  </si>
  <si>
    <t>Arts</t>
  </si>
  <si>
    <t>Programming</t>
  </si>
  <si>
    <t>AI</t>
  </si>
  <si>
    <t>Economics</t>
  </si>
  <si>
    <t>Electronics</t>
  </si>
  <si>
    <t>Accounting</t>
  </si>
  <si>
    <t>Physics</t>
  </si>
  <si>
    <t>Linguistics</t>
  </si>
  <si>
    <t>Philosophy</t>
  </si>
  <si>
    <t>Finance</t>
  </si>
  <si>
    <t>Marketing</t>
  </si>
  <si>
    <t>History</t>
  </si>
  <si>
    <t>Data Structure</t>
  </si>
  <si>
    <t>Math</t>
  </si>
  <si>
    <t>Literature</t>
  </si>
  <si>
    <t>Mechanics</t>
  </si>
  <si>
    <t>Design</t>
  </si>
  <si>
    <t>2025-02-05</t>
  </si>
  <si>
    <t>2025-02-08</t>
  </si>
  <si>
    <t>2025-01-25</t>
  </si>
  <si>
    <t>2025-01-03</t>
  </si>
  <si>
    <t>2025-05-04</t>
  </si>
  <si>
    <t>2025-01-22</t>
  </si>
  <si>
    <t>2025-06-27</t>
  </si>
  <si>
    <t>2025-05-21</t>
  </si>
  <si>
    <t>2025-01-08</t>
  </si>
  <si>
    <t>2025-02-21</t>
  </si>
  <si>
    <t>2025-06-19</t>
  </si>
  <si>
    <t>2025-01-28</t>
  </si>
  <si>
    <t>2025-05-09</t>
  </si>
  <si>
    <t>2025-02-15</t>
  </si>
  <si>
    <t>2025-02-12</t>
  </si>
  <si>
    <t>2025-03-27</t>
  </si>
  <si>
    <t>2025-06-16</t>
  </si>
  <si>
    <t>2025-03-17</t>
  </si>
  <si>
    <t>2025-05-15</t>
  </si>
  <si>
    <t>2025-05-08</t>
  </si>
  <si>
    <t>2025-02-04</t>
  </si>
  <si>
    <t>2025-01-13</t>
  </si>
  <si>
    <t>2025-04-06</t>
  </si>
  <si>
    <t>2025-06-18</t>
  </si>
  <si>
    <t>2025-02-28</t>
  </si>
  <si>
    <t>2025-03-14</t>
  </si>
  <si>
    <t>2025-06-11</t>
  </si>
  <si>
    <t>2025-01-20</t>
  </si>
  <si>
    <t>2025-04-22</t>
  </si>
  <si>
    <t>2025-02-22</t>
  </si>
  <si>
    <t>2025-01-18</t>
  </si>
  <si>
    <t>2025-03-06</t>
  </si>
  <si>
    <t>2025-03-04</t>
  </si>
  <si>
    <t>2025-06-14</t>
  </si>
  <si>
    <t>2025-02-24</t>
  </si>
  <si>
    <t>2025-03-19</t>
  </si>
  <si>
    <t>2025-03-07</t>
  </si>
  <si>
    <t>2025-02-26</t>
  </si>
  <si>
    <t>2025-06-28</t>
  </si>
  <si>
    <t>2025-02-07</t>
  </si>
  <si>
    <t>2025-04-11</t>
  </si>
  <si>
    <t>2025-01-09</t>
  </si>
  <si>
    <t>2025-05-17</t>
  </si>
  <si>
    <t>2025-05-26</t>
  </si>
  <si>
    <t>2025-05-05</t>
  </si>
  <si>
    <t>2025-06-06</t>
  </si>
  <si>
    <t>2025-04-21</t>
  </si>
  <si>
    <t>2025-04-05</t>
  </si>
  <si>
    <t>2025-06-08</t>
  </si>
  <si>
    <t>2025-05-03</t>
  </si>
  <si>
    <t>2025-04-14</t>
  </si>
  <si>
    <t>2025-05-23</t>
  </si>
  <si>
    <t>2025-05-24</t>
  </si>
  <si>
    <t>2025-05-19</t>
  </si>
  <si>
    <t>2025-04-09</t>
  </si>
  <si>
    <t>2025-06-03</t>
  </si>
  <si>
    <t>2025-02-20</t>
  </si>
  <si>
    <t>2025-05-22</t>
  </si>
  <si>
    <t>2025-06-25</t>
  </si>
  <si>
    <t>2025-01-17</t>
  </si>
  <si>
    <t>2025-04-27</t>
  </si>
  <si>
    <t>2025-04-19</t>
  </si>
  <si>
    <t>2025-04-07</t>
  </si>
  <si>
    <t>2025-03-09</t>
  </si>
  <si>
    <t>2025-06-05</t>
  </si>
  <si>
    <t>2025-04-03</t>
  </si>
  <si>
    <t>2025-05-25</t>
  </si>
  <si>
    <t>2025-05-14</t>
  </si>
  <si>
    <t>2025-06-20</t>
  </si>
  <si>
    <t>2025-01-15</t>
  </si>
  <si>
    <t>2025-04-24</t>
  </si>
  <si>
    <t>2025-05-02</t>
  </si>
  <si>
    <t>2025-01-16</t>
  </si>
  <si>
    <t>2025-04-23</t>
  </si>
  <si>
    <t>2025-05-12</t>
  </si>
  <si>
    <t>93%</t>
  </si>
  <si>
    <t>86%</t>
  </si>
  <si>
    <t>95%</t>
  </si>
  <si>
    <t>82%</t>
  </si>
  <si>
    <t>99%</t>
  </si>
  <si>
    <t>77%</t>
  </si>
  <si>
    <t>81%</t>
  </si>
  <si>
    <t>75%</t>
  </si>
  <si>
    <t>96%</t>
  </si>
  <si>
    <t>85%</t>
  </si>
  <si>
    <t>83%</t>
  </si>
  <si>
    <t>73%</t>
  </si>
  <si>
    <t>87%</t>
  </si>
  <si>
    <t>70%</t>
  </si>
  <si>
    <t>94%</t>
  </si>
  <si>
    <t>97%</t>
  </si>
  <si>
    <t>92%</t>
  </si>
  <si>
    <t>78%</t>
  </si>
  <si>
    <t>71%</t>
  </si>
  <si>
    <t>72%</t>
  </si>
  <si>
    <t>88%</t>
  </si>
  <si>
    <t>90%</t>
  </si>
  <si>
    <t>76%</t>
  </si>
  <si>
    <t>84%</t>
  </si>
  <si>
    <t>98%</t>
  </si>
  <si>
    <t>91%</t>
  </si>
  <si>
    <t>74%</t>
  </si>
  <si>
    <t>80%</t>
  </si>
  <si>
    <t>89%</t>
  </si>
  <si>
    <t>79%</t>
  </si>
  <si>
    <t>100%</t>
  </si>
  <si>
    <t>B</t>
  </si>
  <si>
    <t>A</t>
  </si>
  <si>
    <t>C</t>
  </si>
  <si>
    <t>D</t>
  </si>
  <si>
    <t>Percentage</t>
  </si>
  <si>
    <t>Pass/Fail</t>
  </si>
  <si>
    <t>Average student grades</t>
  </si>
  <si>
    <t>Number of successful students</t>
  </si>
  <si>
    <t>Row Labels</t>
  </si>
  <si>
    <t>fail</t>
  </si>
  <si>
    <t>pass</t>
  </si>
  <si>
    <t>Grand Total</t>
  </si>
  <si>
    <t>Sum of Score</t>
  </si>
  <si>
    <t>United States</t>
  </si>
  <si>
    <t>Canada</t>
  </si>
  <si>
    <t>Mexico</t>
  </si>
  <si>
    <t>Brazil</t>
  </si>
  <si>
    <t>Argentina</t>
  </si>
  <si>
    <t>Chile</t>
  </si>
  <si>
    <t>Peru</t>
  </si>
  <si>
    <t>Colombia</t>
  </si>
  <si>
    <t>Venezuela</t>
  </si>
  <si>
    <t>Ecuador</t>
  </si>
  <si>
    <t>United Kingdom</t>
  </si>
  <si>
    <t>France</t>
  </si>
  <si>
    <t>Germany</t>
  </si>
  <si>
    <t>Italy</t>
  </si>
  <si>
    <t>Spain</t>
  </si>
  <si>
    <t>Portugal</t>
  </si>
  <si>
    <t>Netherlands</t>
  </si>
  <si>
    <t>Belgium</t>
  </si>
  <si>
    <t>Sweden</t>
  </si>
  <si>
    <t>Norway</t>
  </si>
  <si>
    <t>Denmark</t>
  </si>
  <si>
    <t>Finland</t>
  </si>
  <si>
    <t>Poland</t>
  </si>
  <si>
    <t>Czech Republic</t>
  </si>
  <si>
    <t>Austria</t>
  </si>
  <si>
    <t>Switzerland</t>
  </si>
  <si>
    <t>Greece</t>
  </si>
  <si>
    <t>Turkey</t>
  </si>
  <si>
    <t>Russia</t>
  </si>
  <si>
    <t>Ukraine</t>
  </si>
  <si>
    <t>China</t>
  </si>
  <si>
    <t>Japan</t>
  </si>
  <si>
    <t>South Korea</t>
  </si>
  <si>
    <t>India</t>
  </si>
  <si>
    <t>Pakistan</t>
  </si>
  <si>
    <t>Bangladesh</t>
  </si>
  <si>
    <t>Sri Lanka</t>
  </si>
  <si>
    <t>Nepal</t>
  </si>
  <si>
    <t>Thailand</t>
  </si>
  <si>
    <t>Vietnam</t>
  </si>
  <si>
    <t>Philippines</t>
  </si>
  <si>
    <t>Malaysia</t>
  </si>
  <si>
    <t>Singapore</t>
  </si>
  <si>
    <t>Indonesia</t>
  </si>
  <si>
    <t>Australia</t>
  </si>
  <si>
    <t>New Zealand</t>
  </si>
  <si>
    <t>South Africa</t>
  </si>
  <si>
    <t>Egypt</t>
  </si>
  <si>
    <t>Nigeria</t>
  </si>
  <si>
    <t>Kenya</t>
  </si>
  <si>
    <t>Ethiopia</t>
  </si>
  <si>
    <t>Morocco</t>
  </si>
  <si>
    <t>Algeria</t>
  </si>
  <si>
    <t>Tunisia</t>
  </si>
  <si>
    <t>Libya</t>
  </si>
  <si>
    <t>Saudi Arabia</t>
  </si>
  <si>
    <t>United Arab Emirates</t>
  </si>
  <si>
    <t>Qatar</t>
  </si>
  <si>
    <t>Oman</t>
  </si>
  <si>
    <t>Kuwait</t>
  </si>
  <si>
    <t>Bahrain</t>
  </si>
  <si>
    <t>Jordan</t>
  </si>
  <si>
    <t>Lebanon</t>
  </si>
  <si>
    <t>Syria</t>
  </si>
  <si>
    <t>Iraq</t>
  </si>
  <si>
    <t>Iran</t>
  </si>
  <si>
    <t>Israel</t>
  </si>
  <si>
    <t>Palestine</t>
  </si>
  <si>
    <t>Yemen</t>
  </si>
  <si>
    <t>Afghanistan</t>
  </si>
  <si>
    <t>Kazakhstan</t>
  </si>
  <si>
    <t>Uzbekistan</t>
  </si>
  <si>
    <t>Turkmenistan</t>
  </si>
  <si>
    <t>Kyrgyzstan</t>
  </si>
  <si>
    <t>Tajikistan</t>
  </si>
  <si>
    <t>Mongolia</t>
  </si>
  <si>
    <t>Myanmar</t>
  </si>
  <si>
    <t>Cambodia</t>
  </si>
  <si>
    <t>Laos</t>
  </si>
  <si>
    <t>Bhutan</t>
  </si>
  <si>
    <t>Iceland</t>
  </si>
  <si>
    <t>Ireland</t>
  </si>
  <si>
    <t>Luxembourg</t>
  </si>
  <si>
    <t>Monaco</t>
  </si>
  <si>
    <t>San Marino</t>
  </si>
  <si>
    <t>Andorra</t>
  </si>
  <si>
    <t>Liechtenstein</t>
  </si>
  <si>
    <t>Malta</t>
  </si>
  <si>
    <t>Cyprus</t>
  </si>
  <si>
    <t>Slovakia</t>
  </si>
  <si>
    <t>Slovenia</t>
  </si>
  <si>
    <t>Croatia</t>
  </si>
  <si>
    <t>Serbia</t>
  </si>
  <si>
    <t>Bosnia and Herzegovina</t>
  </si>
  <si>
    <t>Montenegro</t>
  </si>
  <si>
    <t>North Macedonia</t>
  </si>
  <si>
    <t>Kosovo</t>
  </si>
  <si>
    <t>Belarus</t>
  </si>
  <si>
    <t>Estonia</t>
  </si>
  <si>
    <t>Latvia</t>
  </si>
  <si>
    <t>Column Labels</t>
  </si>
  <si>
    <t>Count of Pass/Fail2</t>
  </si>
  <si>
    <t>Count of Grade</t>
  </si>
  <si>
    <t>Count of Attendance%</t>
  </si>
  <si>
    <t>Sum of StudentID</t>
  </si>
  <si>
    <t>Education Metrics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</si>
</sst>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4"/>
      <color theme="3"/>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9" fontId="0" fillId="0" borderId="0" xfId="0" applyNumberFormat="1" applyAlignment="1">
      <alignment horizontal="center"/>
    </xf>
    <xf numFmtId="0" fontId="0" fillId="0" borderId="0" xfId="0" applyNumberFormat="1" applyAlignment="1">
      <alignment horizontal="center"/>
    </xf>
    <xf numFmtId="0" fontId="0" fillId="0" borderId="0" xfId="0" pivotButton="1" applyAlignment="1">
      <alignment horizontal="center"/>
    </xf>
    <xf numFmtId="0" fontId="2" fillId="0" borderId="0" xfId="0" applyFont="1" applyAlignment="1">
      <alignment horizontal="center"/>
    </xf>
  </cellXfs>
  <cellStyles count="1">
    <cellStyle name="Normal" xfId="0" builtinId="0"/>
  </cellStyles>
  <dxfs count="61">
    <dxf>
      <numFmt numFmtId="13" formatCode="0%"/>
    </dxf>
    <dxf>
      <numFmt numFmtId="13" formatCode="0%"/>
    </dxf>
    <dxf>
      <numFmt numFmtId="14" formatCode="0.00%"/>
    </dxf>
    <dxf>
      <numFmt numFmtId="13" formatCode="0%"/>
    </dxf>
    <dxf>
      <numFmt numFmtId="13" formatCode="0%"/>
    </dxf>
    <dxf>
      <alignment horizontal="center"/>
    </dxf>
    <dxf>
      <alignment horizontal="center"/>
    </dxf>
    <dxf>
      <alignment horizontal="center"/>
    </dxf>
    <dxf>
      <alignment horizontal="center"/>
    </dxf>
    <dxf>
      <alignment horizontal="center"/>
    </dxf>
    <dxf>
      <numFmt numFmtId="13" formatCode="0%"/>
    </dxf>
    <dxf>
      <numFmt numFmtId="13" formatCode="0%"/>
    </dxf>
    <dxf>
      <numFmt numFmtId="14" formatCode="0.00%"/>
    </dxf>
    <dxf>
      <numFmt numFmtId="13" formatCode="0%"/>
    </dxf>
    <dxf>
      <numFmt numFmtId="13" formatCode="0%"/>
    </dxf>
    <dxf>
      <alignment horizontal="center"/>
    </dxf>
    <dxf>
      <alignment horizontal="center"/>
    </dxf>
    <dxf>
      <alignment horizontal="center"/>
    </dxf>
    <dxf>
      <alignment horizontal="center"/>
    </dxf>
    <dxf>
      <alignment horizontal="center"/>
    </dxf>
    <dxf>
      <numFmt numFmtId="13" formatCode="0%"/>
    </dxf>
    <dxf>
      <numFmt numFmtId="13" formatCode="0%"/>
    </dxf>
    <dxf>
      <numFmt numFmtId="14" formatCode="0.00%"/>
    </dxf>
    <dxf>
      <numFmt numFmtId="13" formatCode="0%"/>
    </dxf>
    <dxf>
      <numFmt numFmtId="13" formatCode="0%"/>
    </dxf>
    <dxf>
      <alignment horizontal="center"/>
    </dxf>
    <dxf>
      <alignment horizontal="center"/>
    </dxf>
    <dxf>
      <alignment horizontal="center"/>
    </dxf>
    <dxf>
      <alignment horizontal="center"/>
    </dxf>
    <dxf>
      <alignment horizontal="center"/>
    </dxf>
    <dxf>
      <numFmt numFmtId="13" formatCode="0%"/>
    </dxf>
    <dxf>
      <numFmt numFmtId="13" formatCode="0%"/>
    </dxf>
    <dxf>
      <numFmt numFmtId="14" formatCode="0.00%"/>
    </dxf>
    <dxf>
      <numFmt numFmtId="13" formatCode="0%"/>
    </dxf>
    <dxf>
      <numFmt numFmtId="13" formatCode="0%"/>
    </dxf>
    <dxf>
      <alignment horizontal="center"/>
    </dxf>
    <dxf>
      <alignment horizontal="center"/>
    </dxf>
    <dxf>
      <alignment horizontal="center"/>
    </dxf>
    <dxf>
      <alignment horizontal="center"/>
    </dxf>
    <dxf>
      <alignment horizontal="center"/>
    </dxf>
    <dxf>
      <numFmt numFmtId="13" formatCode="0%"/>
    </dxf>
    <dxf>
      <numFmt numFmtId="13" formatCode="0%"/>
    </dxf>
    <dxf>
      <numFmt numFmtId="14" formatCode="0.00%"/>
    </dxf>
    <dxf>
      <numFmt numFmtId="13" formatCode="0%"/>
    </dxf>
    <dxf>
      <numFmt numFmtId="13" formatCode="0%"/>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[Education_Dashboard_Dataset.xlsx]Attendance statistics for each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statistics for each subject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'Attendance statistics for each '!$B$1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cat>
            <c:strRef>
              <c:f>'Attendance statistics for each '!$A$2:$A$18</c:f>
              <c:strCache>
                <c:ptCount val="16"/>
                <c:pt idx="0">
                  <c:v>Accounting</c:v>
                </c:pt>
                <c:pt idx="1">
                  <c:v>AI</c:v>
                </c:pt>
                <c:pt idx="2">
                  <c:v>Data Structure</c:v>
                </c:pt>
                <c:pt idx="3">
                  <c:v>Design</c:v>
                </c:pt>
                <c:pt idx="4">
                  <c:v>Economics</c:v>
                </c:pt>
                <c:pt idx="5">
                  <c:v>Electronics</c:v>
                </c:pt>
                <c:pt idx="6">
                  <c:v>Finance</c:v>
                </c:pt>
                <c:pt idx="7">
                  <c:v>History</c:v>
                </c:pt>
                <c:pt idx="8">
                  <c:v>Linguistics</c:v>
                </c:pt>
                <c:pt idx="9">
                  <c:v>Literature</c:v>
                </c:pt>
                <c:pt idx="10">
                  <c:v>Marketing</c:v>
                </c:pt>
                <c:pt idx="11">
                  <c:v>Math</c:v>
                </c:pt>
                <c:pt idx="12">
                  <c:v>Mechanics</c:v>
                </c:pt>
                <c:pt idx="13">
                  <c:v>Philosophy</c:v>
                </c:pt>
                <c:pt idx="14">
                  <c:v>Physics</c:v>
                </c:pt>
                <c:pt idx="15">
                  <c:v>Programming</c:v>
                </c:pt>
              </c:strCache>
            </c:strRef>
          </c:cat>
          <c:val>
            <c:numRef>
              <c:f>'Attendance statistics for each '!$B$2:$B$18</c:f>
              <c:numCache>
                <c:formatCode>General</c:formatCode>
                <c:ptCount val="16"/>
                <c:pt idx="0">
                  <c:v>6</c:v>
                </c:pt>
                <c:pt idx="1">
                  <c:v>6</c:v>
                </c:pt>
                <c:pt idx="2">
                  <c:v>7</c:v>
                </c:pt>
                <c:pt idx="3">
                  <c:v>5</c:v>
                </c:pt>
                <c:pt idx="4">
                  <c:v>5</c:v>
                </c:pt>
                <c:pt idx="5">
                  <c:v>6</c:v>
                </c:pt>
                <c:pt idx="6">
                  <c:v>14</c:v>
                </c:pt>
                <c:pt idx="7">
                  <c:v>5</c:v>
                </c:pt>
                <c:pt idx="8">
                  <c:v>6</c:v>
                </c:pt>
                <c:pt idx="9">
                  <c:v>5</c:v>
                </c:pt>
                <c:pt idx="10">
                  <c:v>6</c:v>
                </c:pt>
                <c:pt idx="11">
                  <c:v>10</c:v>
                </c:pt>
                <c:pt idx="12">
                  <c:v>7</c:v>
                </c:pt>
                <c:pt idx="13">
                  <c:v>4</c:v>
                </c:pt>
                <c:pt idx="14">
                  <c:v>4</c:v>
                </c:pt>
                <c:pt idx="15">
                  <c:v>4</c:v>
                </c:pt>
              </c:numCache>
            </c:numRef>
          </c:val>
          <c:extLst>
            <c:ext xmlns:c16="http://schemas.microsoft.com/office/drawing/2014/chart" uri="{C3380CC4-5D6E-409C-BE32-E72D297353CC}">
              <c16:uniqueId val="{00000000-6954-472D-88FB-461B0575908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[Education_Dashboard_Dataset.xlsx]Student statistics by date!PivotTable6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Student statistics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'Student statistics by date'!$B$3</c:f>
              <c:strCache>
                <c:ptCount val="1"/>
                <c:pt idx="0">
                  <c:v>Total</c:v>
                </c:pt>
              </c:strCache>
            </c:strRef>
          </c:tx>
          <c:spPr>
            <a:ln w="28575" cap="rnd">
              <a:solidFill>
                <a:schemeClr val="accent1"/>
              </a:solidFill>
              <a:round/>
            </a:ln>
            <a:effectLst/>
          </c:spPr>
          <c:marker>
            <c:symbol val="none"/>
          </c:marker>
          <c:cat>
            <c:strRef>
              <c:f>'Student statistics by date'!$A$4:$A$79</c:f>
              <c:strCache>
                <c:ptCount val="75"/>
                <c:pt idx="0">
                  <c:v>2025-01-03</c:v>
                </c:pt>
                <c:pt idx="1">
                  <c:v>2025-01-08</c:v>
                </c:pt>
                <c:pt idx="2">
                  <c:v>2025-01-09</c:v>
                </c:pt>
                <c:pt idx="3">
                  <c:v>2025-01-13</c:v>
                </c:pt>
                <c:pt idx="4">
                  <c:v>2025-01-15</c:v>
                </c:pt>
                <c:pt idx="5">
                  <c:v>2025-01-16</c:v>
                </c:pt>
                <c:pt idx="6">
                  <c:v>2025-01-17</c:v>
                </c:pt>
                <c:pt idx="7">
                  <c:v>2025-01-18</c:v>
                </c:pt>
                <c:pt idx="8">
                  <c:v>2025-01-20</c:v>
                </c:pt>
                <c:pt idx="9">
                  <c:v>2025-01-22</c:v>
                </c:pt>
                <c:pt idx="10">
                  <c:v>2025-01-25</c:v>
                </c:pt>
                <c:pt idx="11">
                  <c:v>2025-01-28</c:v>
                </c:pt>
                <c:pt idx="12">
                  <c:v>2025-02-04</c:v>
                </c:pt>
                <c:pt idx="13">
                  <c:v>2025-02-05</c:v>
                </c:pt>
                <c:pt idx="14">
                  <c:v>2025-02-07</c:v>
                </c:pt>
                <c:pt idx="15">
                  <c:v>2025-02-08</c:v>
                </c:pt>
                <c:pt idx="16">
                  <c:v>2025-02-12</c:v>
                </c:pt>
                <c:pt idx="17">
                  <c:v>2025-02-15</c:v>
                </c:pt>
                <c:pt idx="18">
                  <c:v>2025-02-20</c:v>
                </c:pt>
                <c:pt idx="19">
                  <c:v>2025-02-21</c:v>
                </c:pt>
                <c:pt idx="20">
                  <c:v>2025-02-22</c:v>
                </c:pt>
                <c:pt idx="21">
                  <c:v>2025-02-24</c:v>
                </c:pt>
                <c:pt idx="22">
                  <c:v>2025-02-26</c:v>
                </c:pt>
                <c:pt idx="23">
                  <c:v>2025-02-28</c:v>
                </c:pt>
                <c:pt idx="24">
                  <c:v>2025-03-04</c:v>
                </c:pt>
                <c:pt idx="25">
                  <c:v>2025-03-06</c:v>
                </c:pt>
                <c:pt idx="26">
                  <c:v>2025-03-07</c:v>
                </c:pt>
                <c:pt idx="27">
                  <c:v>2025-03-09</c:v>
                </c:pt>
                <c:pt idx="28">
                  <c:v>2025-03-14</c:v>
                </c:pt>
                <c:pt idx="29">
                  <c:v>2025-03-17</c:v>
                </c:pt>
                <c:pt idx="30">
                  <c:v>2025-03-19</c:v>
                </c:pt>
                <c:pt idx="31">
                  <c:v>2025-03-27</c:v>
                </c:pt>
                <c:pt idx="32">
                  <c:v>2025-04-03</c:v>
                </c:pt>
                <c:pt idx="33">
                  <c:v>2025-04-05</c:v>
                </c:pt>
                <c:pt idx="34">
                  <c:v>2025-04-06</c:v>
                </c:pt>
                <c:pt idx="35">
                  <c:v>2025-04-07</c:v>
                </c:pt>
                <c:pt idx="36">
                  <c:v>2025-04-09</c:v>
                </c:pt>
                <c:pt idx="37">
                  <c:v>2025-04-11</c:v>
                </c:pt>
                <c:pt idx="38">
                  <c:v>2025-04-14</c:v>
                </c:pt>
                <c:pt idx="39">
                  <c:v>2025-04-19</c:v>
                </c:pt>
                <c:pt idx="40">
                  <c:v>2025-04-21</c:v>
                </c:pt>
                <c:pt idx="41">
                  <c:v>2025-04-22</c:v>
                </c:pt>
                <c:pt idx="42">
                  <c:v>2025-04-23</c:v>
                </c:pt>
                <c:pt idx="43">
                  <c:v>2025-04-24</c:v>
                </c:pt>
                <c:pt idx="44">
                  <c:v>2025-04-27</c:v>
                </c:pt>
                <c:pt idx="45">
                  <c:v>2025-05-02</c:v>
                </c:pt>
                <c:pt idx="46">
                  <c:v>2025-05-03</c:v>
                </c:pt>
                <c:pt idx="47">
                  <c:v>2025-05-04</c:v>
                </c:pt>
                <c:pt idx="48">
                  <c:v>2025-05-05</c:v>
                </c:pt>
                <c:pt idx="49">
                  <c:v>2025-05-08</c:v>
                </c:pt>
                <c:pt idx="50">
                  <c:v>2025-05-09</c:v>
                </c:pt>
                <c:pt idx="51">
                  <c:v>2025-05-12</c:v>
                </c:pt>
                <c:pt idx="52">
                  <c:v>2025-05-14</c:v>
                </c:pt>
                <c:pt idx="53">
                  <c:v>2025-05-15</c:v>
                </c:pt>
                <c:pt idx="54">
                  <c:v>2025-05-17</c:v>
                </c:pt>
                <c:pt idx="55">
                  <c:v>2025-05-19</c:v>
                </c:pt>
                <c:pt idx="56">
                  <c:v>2025-05-21</c:v>
                </c:pt>
                <c:pt idx="57">
                  <c:v>2025-05-22</c:v>
                </c:pt>
                <c:pt idx="58">
                  <c:v>2025-05-23</c:v>
                </c:pt>
                <c:pt idx="59">
                  <c:v>2025-05-24</c:v>
                </c:pt>
                <c:pt idx="60">
                  <c:v>2025-05-25</c:v>
                </c:pt>
                <c:pt idx="61">
                  <c:v>2025-05-26</c:v>
                </c:pt>
                <c:pt idx="62">
                  <c:v>2025-06-03</c:v>
                </c:pt>
                <c:pt idx="63">
                  <c:v>2025-06-05</c:v>
                </c:pt>
                <c:pt idx="64">
                  <c:v>2025-06-06</c:v>
                </c:pt>
                <c:pt idx="65">
                  <c:v>2025-06-08</c:v>
                </c:pt>
                <c:pt idx="66">
                  <c:v>2025-06-11</c:v>
                </c:pt>
                <c:pt idx="67">
                  <c:v>2025-06-14</c:v>
                </c:pt>
                <c:pt idx="68">
                  <c:v>2025-06-16</c:v>
                </c:pt>
                <c:pt idx="69">
                  <c:v>2025-06-18</c:v>
                </c:pt>
                <c:pt idx="70">
                  <c:v>2025-06-19</c:v>
                </c:pt>
                <c:pt idx="71">
                  <c:v>2025-06-20</c:v>
                </c:pt>
                <c:pt idx="72">
                  <c:v>2025-06-25</c:v>
                </c:pt>
                <c:pt idx="73">
                  <c:v>2025-06-27</c:v>
                </c:pt>
                <c:pt idx="74">
                  <c:v>2025-06-28</c:v>
                </c:pt>
              </c:strCache>
            </c:strRef>
          </c:cat>
          <c:val>
            <c:numRef>
              <c:f>'Student statistics by date'!$B$4:$B$79</c:f>
              <c:numCache>
                <c:formatCode>General</c:formatCode>
                <c:ptCount val="75"/>
                <c:pt idx="0">
                  <c:v>400</c:v>
                </c:pt>
                <c:pt idx="1">
                  <c:v>482</c:v>
                </c:pt>
                <c:pt idx="2">
                  <c:v>507</c:v>
                </c:pt>
                <c:pt idx="3">
                  <c:v>123</c:v>
                </c:pt>
                <c:pt idx="4">
                  <c:v>190</c:v>
                </c:pt>
                <c:pt idx="5">
                  <c:v>193</c:v>
                </c:pt>
                <c:pt idx="6">
                  <c:v>170</c:v>
                </c:pt>
                <c:pt idx="7">
                  <c:v>132</c:v>
                </c:pt>
                <c:pt idx="8">
                  <c:v>129</c:v>
                </c:pt>
                <c:pt idx="9">
                  <c:v>294</c:v>
                </c:pt>
                <c:pt idx="10">
                  <c:v>256</c:v>
                </c:pt>
                <c:pt idx="11">
                  <c:v>112</c:v>
                </c:pt>
                <c:pt idx="12">
                  <c:v>122</c:v>
                </c:pt>
                <c:pt idx="13">
                  <c:v>267</c:v>
                </c:pt>
                <c:pt idx="14">
                  <c:v>142</c:v>
                </c:pt>
                <c:pt idx="15">
                  <c:v>102</c:v>
                </c:pt>
                <c:pt idx="16">
                  <c:v>295</c:v>
                </c:pt>
                <c:pt idx="17">
                  <c:v>114</c:v>
                </c:pt>
                <c:pt idx="18">
                  <c:v>167</c:v>
                </c:pt>
                <c:pt idx="19">
                  <c:v>110</c:v>
                </c:pt>
                <c:pt idx="20">
                  <c:v>266</c:v>
                </c:pt>
                <c:pt idx="21">
                  <c:v>471</c:v>
                </c:pt>
                <c:pt idx="22">
                  <c:v>291</c:v>
                </c:pt>
                <c:pt idx="23">
                  <c:v>126</c:v>
                </c:pt>
                <c:pt idx="24">
                  <c:v>329</c:v>
                </c:pt>
                <c:pt idx="25">
                  <c:v>315</c:v>
                </c:pt>
                <c:pt idx="26">
                  <c:v>288</c:v>
                </c:pt>
                <c:pt idx="27">
                  <c:v>178</c:v>
                </c:pt>
                <c:pt idx="28">
                  <c:v>127</c:v>
                </c:pt>
                <c:pt idx="29">
                  <c:v>118</c:v>
                </c:pt>
                <c:pt idx="30">
                  <c:v>138</c:v>
                </c:pt>
                <c:pt idx="31">
                  <c:v>305</c:v>
                </c:pt>
                <c:pt idx="32">
                  <c:v>183</c:v>
                </c:pt>
                <c:pt idx="33">
                  <c:v>154</c:v>
                </c:pt>
                <c:pt idx="34">
                  <c:v>124</c:v>
                </c:pt>
                <c:pt idx="35">
                  <c:v>174</c:v>
                </c:pt>
                <c:pt idx="36">
                  <c:v>164</c:v>
                </c:pt>
                <c:pt idx="37">
                  <c:v>304</c:v>
                </c:pt>
                <c:pt idx="38">
                  <c:v>158</c:v>
                </c:pt>
                <c:pt idx="39">
                  <c:v>173</c:v>
                </c:pt>
                <c:pt idx="40">
                  <c:v>152</c:v>
                </c:pt>
                <c:pt idx="41">
                  <c:v>130</c:v>
                </c:pt>
                <c:pt idx="42">
                  <c:v>391</c:v>
                </c:pt>
                <c:pt idx="43">
                  <c:v>191</c:v>
                </c:pt>
                <c:pt idx="44">
                  <c:v>371</c:v>
                </c:pt>
                <c:pt idx="45">
                  <c:v>192</c:v>
                </c:pt>
                <c:pt idx="46">
                  <c:v>157</c:v>
                </c:pt>
                <c:pt idx="47">
                  <c:v>105</c:v>
                </c:pt>
                <c:pt idx="48">
                  <c:v>148</c:v>
                </c:pt>
                <c:pt idx="49">
                  <c:v>121</c:v>
                </c:pt>
                <c:pt idx="50">
                  <c:v>113</c:v>
                </c:pt>
                <c:pt idx="51">
                  <c:v>196</c:v>
                </c:pt>
                <c:pt idx="52">
                  <c:v>185</c:v>
                </c:pt>
                <c:pt idx="53">
                  <c:v>119</c:v>
                </c:pt>
                <c:pt idx="54">
                  <c:v>322</c:v>
                </c:pt>
                <c:pt idx="55">
                  <c:v>162</c:v>
                </c:pt>
                <c:pt idx="56">
                  <c:v>108</c:v>
                </c:pt>
                <c:pt idx="57">
                  <c:v>168</c:v>
                </c:pt>
                <c:pt idx="58">
                  <c:v>159</c:v>
                </c:pt>
                <c:pt idx="59">
                  <c:v>160</c:v>
                </c:pt>
                <c:pt idx="60">
                  <c:v>184</c:v>
                </c:pt>
                <c:pt idx="61">
                  <c:v>146</c:v>
                </c:pt>
                <c:pt idx="62">
                  <c:v>351</c:v>
                </c:pt>
                <c:pt idx="63">
                  <c:v>181</c:v>
                </c:pt>
                <c:pt idx="64">
                  <c:v>150</c:v>
                </c:pt>
                <c:pt idx="65">
                  <c:v>156</c:v>
                </c:pt>
                <c:pt idx="66">
                  <c:v>128</c:v>
                </c:pt>
                <c:pt idx="67">
                  <c:v>136</c:v>
                </c:pt>
                <c:pt idx="68">
                  <c:v>117</c:v>
                </c:pt>
                <c:pt idx="69">
                  <c:v>125</c:v>
                </c:pt>
                <c:pt idx="70">
                  <c:v>111</c:v>
                </c:pt>
                <c:pt idx="71">
                  <c:v>187</c:v>
                </c:pt>
                <c:pt idx="72">
                  <c:v>169</c:v>
                </c:pt>
                <c:pt idx="73">
                  <c:v>278</c:v>
                </c:pt>
                <c:pt idx="74">
                  <c:v>288</c:v>
                </c:pt>
              </c:numCache>
            </c:numRef>
          </c:val>
          <c:smooth val="0"/>
          <c:extLst>
            <c:ext xmlns:c16="http://schemas.microsoft.com/office/drawing/2014/chart" uri="{C3380CC4-5D6E-409C-BE32-E72D297353CC}">
              <c16:uniqueId val="{00000000-EED2-4C4B-A252-4B66CD018984}"/>
            </c:ext>
          </c:extLst>
        </c:ser>
        <c:dLbls>
          <c:showLegendKey val="0"/>
          <c:showVal val="0"/>
          <c:showCatName val="0"/>
          <c:showSerName val="0"/>
          <c:showPercent val="0"/>
          <c:showBubbleSize val="0"/>
        </c:dLbls>
        <c:smooth val="0"/>
        <c:axId val="887025055"/>
        <c:axId val="887025471"/>
      </c:lineChart>
      <c:catAx>
        <c:axId val="88702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5471"/>
        <c:crosses val="autoZero"/>
        <c:auto val="1"/>
        <c:lblAlgn val="ctr"/>
        <c:lblOffset val="100"/>
        <c:noMultiLvlLbl val="0"/>
      </c:catAx>
      <c:valAx>
        <c:axId val="88702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[Education_Dashboard_Dataset.xlsx]Attendance statistics for each !PivotTable7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statistics for each subject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doughnutChart>
        <c:varyColors val="1"/>
        <c:ser>
          <c:idx val="0"/>
          <c:order val="0"/>
          <c:tx>
            <c:strRef>
              <c:f>'Attendance statistics for each '!$B$1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87-4E4B-8373-56A6DC7519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87-4E4B-8373-56A6DC7519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87-4E4B-8373-56A6DC7519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87-4E4B-8373-56A6DC7519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287-4E4B-8373-56A6DC7519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287-4E4B-8373-56A6DC7519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287-4E4B-8373-56A6DC75193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287-4E4B-8373-56A6DC75193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287-4E4B-8373-56A6DC75193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287-4E4B-8373-56A6DC75193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287-4E4B-8373-56A6DC75193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287-4E4B-8373-56A6DC75193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287-4E4B-8373-56A6DC75193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287-4E4B-8373-56A6DC75193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287-4E4B-8373-56A6DC75193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287-4E4B-8373-56A6DC751937}"/>
              </c:ext>
            </c:extLst>
          </c:dPt>
          <c:cat>
            <c:strRef>
              <c:f>'Attendance statistics for each '!$A$2:$A$18</c:f>
              <c:strCache>
                <c:ptCount val="16"/>
                <c:pt idx="0">
                  <c:v>Accounting</c:v>
                </c:pt>
                <c:pt idx="1">
                  <c:v>AI</c:v>
                </c:pt>
                <c:pt idx="2">
                  <c:v>Data Structure</c:v>
                </c:pt>
                <c:pt idx="3">
                  <c:v>Design</c:v>
                </c:pt>
                <c:pt idx="4">
                  <c:v>Economics</c:v>
                </c:pt>
                <c:pt idx="5">
                  <c:v>Electronics</c:v>
                </c:pt>
                <c:pt idx="6">
                  <c:v>Finance</c:v>
                </c:pt>
                <c:pt idx="7">
                  <c:v>History</c:v>
                </c:pt>
                <c:pt idx="8">
                  <c:v>Linguistics</c:v>
                </c:pt>
                <c:pt idx="9">
                  <c:v>Literature</c:v>
                </c:pt>
                <c:pt idx="10">
                  <c:v>Marketing</c:v>
                </c:pt>
                <c:pt idx="11">
                  <c:v>Math</c:v>
                </c:pt>
                <c:pt idx="12">
                  <c:v>Mechanics</c:v>
                </c:pt>
                <c:pt idx="13">
                  <c:v>Philosophy</c:v>
                </c:pt>
                <c:pt idx="14">
                  <c:v>Physics</c:v>
                </c:pt>
                <c:pt idx="15">
                  <c:v>Programming</c:v>
                </c:pt>
              </c:strCache>
            </c:strRef>
          </c:cat>
          <c:val>
            <c:numRef>
              <c:f>'Attendance statistics for each '!$B$2:$B$18</c:f>
              <c:numCache>
                <c:formatCode>General</c:formatCode>
                <c:ptCount val="16"/>
                <c:pt idx="0">
                  <c:v>6</c:v>
                </c:pt>
                <c:pt idx="1">
                  <c:v>6</c:v>
                </c:pt>
                <c:pt idx="2">
                  <c:v>7</c:v>
                </c:pt>
                <c:pt idx="3">
                  <c:v>5</c:v>
                </c:pt>
                <c:pt idx="4">
                  <c:v>5</c:v>
                </c:pt>
                <c:pt idx="5">
                  <c:v>6</c:v>
                </c:pt>
                <c:pt idx="6">
                  <c:v>14</c:v>
                </c:pt>
                <c:pt idx="7">
                  <c:v>5</c:v>
                </c:pt>
                <c:pt idx="8">
                  <c:v>6</c:v>
                </c:pt>
                <c:pt idx="9">
                  <c:v>5</c:v>
                </c:pt>
                <c:pt idx="10">
                  <c:v>6</c:v>
                </c:pt>
                <c:pt idx="11">
                  <c:v>10</c:v>
                </c:pt>
                <c:pt idx="12">
                  <c:v>7</c:v>
                </c:pt>
                <c:pt idx="13">
                  <c:v>4</c:v>
                </c:pt>
                <c:pt idx="14">
                  <c:v>4</c:v>
                </c:pt>
                <c:pt idx="15">
                  <c:v>4</c:v>
                </c:pt>
              </c:numCache>
            </c:numRef>
          </c:val>
          <c:extLst>
            <c:ext xmlns:c16="http://schemas.microsoft.com/office/drawing/2014/chart" uri="{C3380CC4-5D6E-409C-BE32-E72D297353CC}">
              <c16:uniqueId val="{00000020-6287-4E4B-8373-56A6DC75193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[Education_Dashboard_Dataset.xlsx]Average grades for each subject!Average grades for each subject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grades for each subject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grades for each subject'!$B$1</c:f>
              <c:strCache>
                <c:ptCount val="1"/>
                <c:pt idx="0">
                  <c:v>Total</c:v>
                </c:pt>
              </c:strCache>
            </c:strRef>
          </c:tx>
          <c:spPr>
            <a:solidFill>
              <a:schemeClr val="accent1"/>
            </a:solidFill>
            <a:ln>
              <a:noFill/>
            </a:ln>
            <a:effectLst/>
          </c:spPr>
          <c:invertIfNegative val="0"/>
          <c:cat>
            <c:strRef>
              <c:f>'Average grades for each subject'!$A$2:$A$18</c:f>
              <c:strCache>
                <c:ptCount val="16"/>
                <c:pt idx="0">
                  <c:v>Accounting</c:v>
                </c:pt>
                <c:pt idx="1">
                  <c:v>AI</c:v>
                </c:pt>
                <c:pt idx="2">
                  <c:v>Data Structure</c:v>
                </c:pt>
                <c:pt idx="3">
                  <c:v>Design</c:v>
                </c:pt>
                <c:pt idx="4">
                  <c:v>Economics</c:v>
                </c:pt>
                <c:pt idx="5">
                  <c:v>Electronics</c:v>
                </c:pt>
                <c:pt idx="6">
                  <c:v>Finance</c:v>
                </c:pt>
                <c:pt idx="7">
                  <c:v>History</c:v>
                </c:pt>
                <c:pt idx="8">
                  <c:v>Linguistics</c:v>
                </c:pt>
                <c:pt idx="9">
                  <c:v>Literature</c:v>
                </c:pt>
                <c:pt idx="10">
                  <c:v>Marketing</c:v>
                </c:pt>
                <c:pt idx="11">
                  <c:v>Math</c:v>
                </c:pt>
                <c:pt idx="12">
                  <c:v>Mechanics</c:v>
                </c:pt>
                <c:pt idx="13">
                  <c:v>Philosophy</c:v>
                </c:pt>
                <c:pt idx="14">
                  <c:v>Physics</c:v>
                </c:pt>
                <c:pt idx="15">
                  <c:v>Programming</c:v>
                </c:pt>
              </c:strCache>
            </c:strRef>
          </c:cat>
          <c:val>
            <c:numRef>
              <c:f>'Average grades for each subject'!$B$2:$B$18</c:f>
              <c:numCache>
                <c:formatCode>General</c:formatCode>
                <c:ptCount val="16"/>
                <c:pt idx="0">
                  <c:v>416</c:v>
                </c:pt>
                <c:pt idx="1">
                  <c:v>400</c:v>
                </c:pt>
                <c:pt idx="2">
                  <c:v>503</c:v>
                </c:pt>
                <c:pt idx="3">
                  <c:v>369</c:v>
                </c:pt>
                <c:pt idx="4">
                  <c:v>321</c:v>
                </c:pt>
                <c:pt idx="5">
                  <c:v>422</c:v>
                </c:pt>
                <c:pt idx="6">
                  <c:v>864</c:v>
                </c:pt>
                <c:pt idx="7">
                  <c:v>395</c:v>
                </c:pt>
                <c:pt idx="8">
                  <c:v>408</c:v>
                </c:pt>
                <c:pt idx="9">
                  <c:v>366</c:v>
                </c:pt>
                <c:pt idx="10">
                  <c:v>424</c:v>
                </c:pt>
                <c:pt idx="11">
                  <c:v>754</c:v>
                </c:pt>
                <c:pt idx="12">
                  <c:v>579</c:v>
                </c:pt>
                <c:pt idx="13">
                  <c:v>253</c:v>
                </c:pt>
                <c:pt idx="14">
                  <c:v>286</c:v>
                </c:pt>
                <c:pt idx="15">
                  <c:v>326</c:v>
                </c:pt>
              </c:numCache>
            </c:numRef>
          </c:val>
          <c:extLst>
            <c:ext xmlns:c16="http://schemas.microsoft.com/office/drawing/2014/chart" uri="{C3380CC4-5D6E-409C-BE32-E72D297353CC}">
              <c16:uniqueId val="{00000000-CA96-4767-BE11-6FBD27813995}"/>
            </c:ext>
          </c:extLst>
        </c:ser>
        <c:dLbls>
          <c:showLegendKey val="0"/>
          <c:showVal val="0"/>
          <c:showCatName val="0"/>
          <c:showSerName val="0"/>
          <c:showPercent val="0"/>
          <c:showBubbleSize val="0"/>
        </c:dLbls>
        <c:gapWidth val="182"/>
        <c:axId val="816851679"/>
        <c:axId val="1397529599"/>
      </c:barChart>
      <c:catAx>
        <c:axId val="81685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29599"/>
        <c:crosses val="autoZero"/>
        <c:auto val="1"/>
        <c:lblAlgn val="ctr"/>
        <c:lblOffset val="100"/>
        <c:noMultiLvlLbl val="0"/>
      </c:catAx>
      <c:valAx>
        <c:axId val="139752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5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[Education_Dashboard_Dataset.xlsx]Attendece!PivotTable3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Attendece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Attendece!$E$1</c:f>
              <c:strCache>
                <c:ptCount val="1"/>
                <c:pt idx="0">
                  <c:v>Total</c:v>
                </c:pt>
              </c:strCache>
            </c:strRef>
          </c:tx>
          <c:spPr>
            <a:solidFill>
              <a:schemeClr val="accent1"/>
            </a:solidFill>
            <a:ln>
              <a:noFill/>
            </a:ln>
            <a:effectLst/>
          </c:spPr>
          <c:invertIfNegative val="0"/>
          <c:cat>
            <c:strRef>
              <c:f>Attendece!$D$2:$D$33</c:f>
              <c:strCache>
                <c:ptCount val="31"/>
                <c:pt idx="0">
                  <c:v>100%</c:v>
                </c:pt>
                <c:pt idx="1">
                  <c:v>70%</c:v>
                </c:pt>
                <c:pt idx="2">
                  <c:v>71%</c:v>
                </c:pt>
                <c:pt idx="3">
                  <c:v>72%</c:v>
                </c:pt>
                <c:pt idx="4">
                  <c:v>73%</c:v>
                </c:pt>
                <c:pt idx="5">
                  <c:v>74%</c:v>
                </c:pt>
                <c:pt idx="6">
                  <c:v>75%</c:v>
                </c:pt>
                <c:pt idx="7">
                  <c:v>76%</c:v>
                </c:pt>
                <c:pt idx="8">
                  <c:v>77%</c:v>
                </c:pt>
                <c:pt idx="9">
                  <c:v>78%</c:v>
                </c:pt>
                <c:pt idx="10">
                  <c:v>79%</c:v>
                </c:pt>
                <c:pt idx="11">
                  <c:v>80%</c:v>
                </c:pt>
                <c:pt idx="12">
                  <c:v>81%</c:v>
                </c:pt>
                <c:pt idx="13">
                  <c:v>82%</c:v>
                </c:pt>
                <c:pt idx="14">
                  <c:v>83%</c:v>
                </c:pt>
                <c:pt idx="15">
                  <c:v>84%</c:v>
                </c:pt>
                <c:pt idx="16">
                  <c:v>85%</c:v>
                </c:pt>
                <c:pt idx="17">
                  <c:v>86%</c:v>
                </c:pt>
                <c:pt idx="18">
                  <c:v>87%</c:v>
                </c:pt>
                <c:pt idx="19">
                  <c:v>88%</c:v>
                </c:pt>
                <c:pt idx="20">
                  <c:v>89%</c:v>
                </c:pt>
                <c:pt idx="21">
                  <c:v>90%</c:v>
                </c:pt>
                <c:pt idx="22">
                  <c:v>91%</c:v>
                </c:pt>
                <c:pt idx="23">
                  <c:v>92%</c:v>
                </c:pt>
                <c:pt idx="24">
                  <c:v>93%</c:v>
                </c:pt>
                <c:pt idx="25">
                  <c:v>94%</c:v>
                </c:pt>
                <c:pt idx="26">
                  <c:v>95%</c:v>
                </c:pt>
                <c:pt idx="27">
                  <c:v>96%</c:v>
                </c:pt>
                <c:pt idx="28">
                  <c:v>97%</c:v>
                </c:pt>
                <c:pt idx="29">
                  <c:v>98%</c:v>
                </c:pt>
                <c:pt idx="30">
                  <c:v>99%</c:v>
                </c:pt>
              </c:strCache>
            </c:strRef>
          </c:cat>
          <c:val>
            <c:numRef>
              <c:f>Attendece!$E$2:$E$33</c:f>
              <c:numCache>
                <c:formatCode>General</c:formatCode>
                <c:ptCount val="31"/>
                <c:pt idx="0">
                  <c:v>1</c:v>
                </c:pt>
                <c:pt idx="1">
                  <c:v>2</c:v>
                </c:pt>
                <c:pt idx="2">
                  <c:v>1</c:v>
                </c:pt>
                <c:pt idx="3">
                  <c:v>1</c:v>
                </c:pt>
                <c:pt idx="4">
                  <c:v>5</c:v>
                </c:pt>
                <c:pt idx="5">
                  <c:v>2</c:v>
                </c:pt>
                <c:pt idx="6">
                  <c:v>4</c:v>
                </c:pt>
                <c:pt idx="7">
                  <c:v>3</c:v>
                </c:pt>
                <c:pt idx="8">
                  <c:v>3</c:v>
                </c:pt>
                <c:pt idx="9">
                  <c:v>4</c:v>
                </c:pt>
                <c:pt idx="10">
                  <c:v>3</c:v>
                </c:pt>
                <c:pt idx="11">
                  <c:v>2</c:v>
                </c:pt>
                <c:pt idx="12">
                  <c:v>4</c:v>
                </c:pt>
                <c:pt idx="13">
                  <c:v>3</c:v>
                </c:pt>
                <c:pt idx="14">
                  <c:v>4</c:v>
                </c:pt>
                <c:pt idx="15">
                  <c:v>3</c:v>
                </c:pt>
                <c:pt idx="16">
                  <c:v>7</c:v>
                </c:pt>
                <c:pt idx="17">
                  <c:v>1</c:v>
                </c:pt>
                <c:pt idx="18">
                  <c:v>3</c:v>
                </c:pt>
                <c:pt idx="19">
                  <c:v>3</c:v>
                </c:pt>
                <c:pt idx="20">
                  <c:v>3</c:v>
                </c:pt>
                <c:pt idx="21">
                  <c:v>4</c:v>
                </c:pt>
                <c:pt idx="22">
                  <c:v>4</c:v>
                </c:pt>
                <c:pt idx="23">
                  <c:v>3</c:v>
                </c:pt>
                <c:pt idx="24">
                  <c:v>6</c:v>
                </c:pt>
                <c:pt idx="25">
                  <c:v>5</c:v>
                </c:pt>
                <c:pt idx="26">
                  <c:v>4</c:v>
                </c:pt>
                <c:pt idx="27">
                  <c:v>7</c:v>
                </c:pt>
                <c:pt idx="28">
                  <c:v>2</c:v>
                </c:pt>
                <c:pt idx="29">
                  <c:v>1</c:v>
                </c:pt>
                <c:pt idx="30">
                  <c:v>2</c:v>
                </c:pt>
              </c:numCache>
            </c:numRef>
          </c:val>
          <c:extLst>
            <c:ext xmlns:c16="http://schemas.microsoft.com/office/drawing/2014/chart" uri="{C3380CC4-5D6E-409C-BE32-E72D297353CC}">
              <c16:uniqueId val="{00000000-1271-438B-81B6-736BD61B985B}"/>
            </c:ext>
          </c:extLst>
        </c:ser>
        <c:dLbls>
          <c:showLegendKey val="0"/>
          <c:showVal val="0"/>
          <c:showCatName val="0"/>
          <c:showSerName val="0"/>
          <c:showPercent val="0"/>
          <c:showBubbleSize val="0"/>
        </c:dLbls>
        <c:gapWidth val="219"/>
        <c:overlap val="-27"/>
        <c:axId val="1566628431"/>
        <c:axId val="1566628847"/>
      </c:barChart>
      <c:catAx>
        <c:axId val="156662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28847"/>
        <c:crosses val="autoZero"/>
        <c:auto val="1"/>
        <c:lblAlgn val="ctr"/>
        <c:lblOffset val="100"/>
        <c:noMultiLvlLbl val="0"/>
      </c:catAx>
      <c:valAx>
        <c:axId val="156662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2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[Education_Dashboard_Dataset.xlsx]Student statistics by date!PivotTable6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Student statistics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'Student statistics by date'!$B$3</c:f>
              <c:strCache>
                <c:ptCount val="1"/>
                <c:pt idx="0">
                  <c:v>Total</c:v>
                </c:pt>
              </c:strCache>
            </c:strRef>
          </c:tx>
          <c:spPr>
            <a:ln w="28575" cap="rnd">
              <a:solidFill>
                <a:schemeClr val="accent1"/>
              </a:solidFill>
              <a:round/>
            </a:ln>
            <a:effectLst/>
          </c:spPr>
          <c:marker>
            <c:symbol val="none"/>
          </c:marker>
          <c:cat>
            <c:strRef>
              <c:f>'Student statistics by date'!$A$4:$A$79</c:f>
              <c:strCache>
                <c:ptCount val="75"/>
                <c:pt idx="0">
                  <c:v>2025-01-03</c:v>
                </c:pt>
                <c:pt idx="1">
                  <c:v>2025-01-08</c:v>
                </c:pt>
                <c:pt idx="2">
                  <c:v>2025-01-09</c:v>
                </c:pt>
                <c:pt idx="3">
                  <c:v>2025-01-13</c:v>
                </c:pt>
                <c:pt idx="4">
                  <c:v>2025-01-15</c:v>
                </c:pt>
                <c:pt idx="5">
                  <c:v>2025-01-16</c:v>
                </c:pt>
                <c:pt idx="6">
                  <c:v>2025-01-17</c:v>
                </c:pt>
                <c:pt idx="7">
                  <c:v>2025-01-18</c:v>
                </c:pt>
                <c:pt idx="8">
                  <c:v>2025-01-20</c:v>
                </c:pt>
                <c:pt idx="9">
                  <c:v>2025-01-22</c:v>
                </c:pt>
                <c:pt idx="10">
                  <c:v>2025-01-25</c:v>
                </c:pt>
                <c:pt idx="11">
                  <c:v>2025-01-28</c:v>
                </c:pt>
                <c:pt idx="12">
                  <c:v>2025-02-04</c:v>
                </c:pt>
                <c:pt idx="13">
                  <c:v>2025-02-05</c:v>
                </c:pt>
                <c:pt idx="14">
                  <c:v>2025-02-07</c:v>
                </c:pt>
                <c:pt idx="15">
                  <c:v>2025-02-08</c:v>
                </c:pt>
                <c:pt idx="16">
                  <c:v>2025-02-12</c:v>
                </c:pt>
                <c:pt idx="17">
                  <c:v>2025-02-15</c:v>
                </c:pt>
                <c:pt idx="18">
                  <c:v>2025-02-20</c:v>
                </c:pt>
                <c:pt idx="19">
                  <c:v>2025-02-21</c:v>
                </c:pt>
                <c:pt idx="20">
                  <c:v>2025-02-22</c:v>
                </c:pt>
                <c:pt idx="21">
                  <c:v>2025-02-24</c:v>
                </c:pt>
                <c:pt idx="22">
                  <c:v>2025-02-26</c:v>
                </c:pt>
                <c:pt idx="23">
                  <c:v>2025-02-28</c:v>
                </c:pt>
                <c:pt idx="24">
                  <c:v>2025-03-04</c:v>
                </c:pt>
                <c:pt idx="25">
                  <c:v>2025-03-06</c:v>
                </c:pt>
                <c:pt idx="26">
                  <c:v>2025-03-07</c:v>
                </c:pt>
                <c:pt idx="27">
                  <c:v>2025-03-09</c:v>
                </c:pt>
                <c:pt idx="28">
                  <c:v>2025-03-14</c:v>
                </c:pt>
                <c:pt idx="29">
                  <c:v>2025-03-17</c:v>
                </c:pt>
                <c:pt idx="30">
                  <c:v>2025-03-19</c:v>
                </c:pt>
                <c:pt idx="31">
                  <c:v>2025-03-27</c:v>
                </c:pt>
                <c:pt idx="32">
                  <c:v>2025-04-03</c:v>
                </c:pt>
                <c:pt idx="33">
                  <c:v>2025-04-05</c:v>
                </c:pt>
                <c:pt idx="34">
                  <c:v>2025-04-06</c:v>
                </c:pt>
                <c:pt idx="35">
                  <c:v>2025-04-07</c:v>
                </c:pt>
                <c:pt idx="36">
                  <c:v>2025-04-09</c:v>
                </c:pt>
                <c:pt idx="37">
                  <c:v>2025-04-11</c:v>
                </c:pt>
                <c:pt idx="38">
                  <c:v>2025-04-14</c:v>
                </c:pt>
                <c:pt idx="39">
                  <c:v>2025-04-19</c:v>
                </c:pt>
                <c:pt idx="40">
                  <c:v>2025-04-21</c:v>
                </c:pt>
                <c:pt idx="41">
                  <c:v>2025-04-22</c:v>
                </c:pt>
                <c:pt idx="42">
                  <c:v>2025-04-23</c:v>
                </c:pt>
                <c:pt idx="43">
                  <c:v>2025-04-24</c:v>
                </c:pt>
                <c:pt idx="44">
                  <c:v>2025-04-27</c:v>
                </c:pt>
                <c:pt idx="45">
                  <c:v>2025-05-02</c:v>
                </c:pt>
                <c:pt idx="46">
                  <c:v>2025-05-03</c:v>
                </c:pt>
                <c:pt idx="47">
                  <c:v>2025-05-04</c:v>
                </c:pt>
                <c:pt idx="48">
                  <c:v>2025-05-05</c:v>
                </c:pt>
                <c:pt idx="49">
                  <c:v>2025-05-08</c:v>
                </c:pt>
                <c:pt idx="50">
                  <c:v>2025-05-09</c:v>
                </c:pt>
                <c:pt idx="51">
                  <c:v>2025-05-12</c:v>
                </c:pt>
                <c:pt idx="52">
                  <c:v>2025-05-14</c:v>
                </c:pt>
                <c:pt idx="53">
                  <c:v>2025-05-15</c:v>
                </c:pt>
                <c:pt idx="54">
                  <c:v>2025-05-17</c:v>
                </c:pt>
                <c:pt idx="55">
                  <c:v>2025-05-19</c:v>
                </c:pt>
                <c:pt idx="56">
                  <c:v>2025-05-21</c:v>
                </c:pt>
                <c:pt idx="57">
                  <c:v>2025-05-22</c:v>
                </c:pt>
                <c:pt idx="58">
                  <c:v>2025-05-23</c:v>
                </c:pt>
                <c:pt idx="59">
                  <c:v>2025-05-24</c:v>
                </c:pt>
                <c:pt idx="60">
                  <c:v>2025-05-25</c:v>
                </c:pt>
                <c:pt idx="61">
                  <c:v>2025-05-26</c:v>
                </c:pt>
                <c:pt idx="62">
                  <c:v>2025-06-03</c:v>
                </c:pt>
                <c:pt idx="63">
                  <c:v>2025-06-05</c:v>
                </c:pt>
                <c:pt idx="64">
                  <c:v>2025-06-06</c:v>
                </c:pt>
                <c:pt idx="65">
                  <c:v>2025-06-08</c:v>
                </c:pt>
                <c:pt idx="66">
                  <c:v>2025-06-11</c:v>
                </c:pt>
                <c:pt idx="67">
                  <c:v>2025-06-14</c:v>
                </c:pt>
                <c:pt idx="68">
                  <c:v>2025-06-16</c:v>
                </c:pt>
                <c:pt idx="69">
                  <c:v>2025-06-18</c:v>
                </c:pt>
                <c:pt idx="70">
                  <c:v>2025-06-19</c:v>
                </c:pt>
                <c:pt idx="71">
                  <c:v>2025-06-20</c:v>
                </c:pt>
                <c:pt idx="72">
                  <c:v>2025-06-25</c:v>
                </c:pt>
                <c:pt idx="73">
                  <c:v>2025-06-27</c:v>
                </c:pt>
                <c:pt idx="74">
                  <c:v>2025-06-28</c:v>
                </c:pt>
              </c:strCache>
            </c:strRef>
          </c:cat>
          <c:val>
            <c:numRef>
              <c:f>'Student statistics by date'!$B$4:$B$79</c:f>
              <c:numCache>
                <c:formatCode>General</c:formatCode>
                <c:ptCount val="75"/>
                <c:pt idx="0">
                  <c:v>400</c:v>
                </c:pt>
                <c:pt idx="1">
                  <c:v>482</c:v>
                </c:pt>
                <c:pt idx="2">
                  <c:v>507</c:v>
                </c:pt>
                <c:pt idx="3">
                  <c:v>123</c:v>
                </c:pt>
                <c:pt idx="4">
                  <c:v>190</c:v>
                </c:pt>
                <c:pt idx="5">
                  <c:v>193</c:v>
                </c:pt>
                <c:pt idx="6">
                  <c:v>170</c:v>
                </c:pt>
                <c:pt idx="7">
                  <c:v>132</c:v>
                </c:pt>
                <c:pt idx="8">
                  <c:v>129</c:v>
                </c:pt>
                <c:pt idx="9">
                  <c:v>294</c:v>
                </c:pt>
                <c:pt idx="10">
                  <c:v>256</c:v>
                </c:pt>
                <c:pt idx="11">
                  <c:v>112</c:v>
                </c:pt>
                <c:pt idx="12">
                  <c:v>122</c:v>
                </c:pt>
                <c:pt idx="13">
                  <c:v>267</c:v>
                </c:pt>
                <c:pt idx="14">
                  <c:v>142</c:v>
                </c:pt>
                <c:pt idx="15">
                  <c:v>102</c:v>
                </c:pt>
                <c:pt idx="16">
                  <c:v>295</c:v>
                </c:pt>
                <c:pt idx="17">
                  <c:v>114</c:v>
                </c:pt>
                <c:pt idx="18">
                  <c:v>167</c:v>
                </c:pt>
                <c:pt idx="19">
                  <c:v>110</c:v>
                </c:pt>
                <c:pt idx="20">
                  <c:v>266</c:v>
                </c:pt>
                <c:pt idx="21">
                  <c:v>471</c:v>
                </c:pt>
                <c:pt idx="22">
                  <c:v>291</c:v>
                </c:pt>
                <c:pt idx="23">
                  <c:v>126</c:v>
                </c:pt>
                <c:pt idx="24">
                  <c:v>329</c:v>
                </c:pt>
                <c:pt idx="25">
                  <c:v>315</c:v>
                </c:pt>
                <c:pt idx="26">
                  <c:v>288</c:v>
                </c:pt>
                <c:pt idx="27">
                  <c:v>178</c:v>
                </c:pt>
                <c:pt idx="28">
                  <c:v>127</c:v>
                </c:pt>
                <c:pt idx="29">
                  <c:v>118</c:v>
                </c:pt>
                <c:pt idx="30">
                  <c:v>138</c:v>
                </c:pt>
                <c:pt idx="31">
                  <c:v>305</c:v>
                </c:pt>
                <c:pt idx="32">
                  <c:v>183</c:v>
                </c:pt>
                <c:pt idx="33">
                  <c:v>154</c:v>
                </c:pt>
                <c:pt idx="34">
                  <c:v>124</c:v>
                </c:pt>
                <c:pt idx="35">
                  <c:v>174</c:v>
                </c:pt>
                <c:pt idx="36">
                  <c:v>164</c:v>
                </c:pt>
                <c:pt idx="37">
                  <c:v>304</c:v>
                </c:pt>
                <c:pt idx="38">
                  <c:v>158</c:v>
                </c:pt>
                <c:pt idx="39">
                  <c:v>173</c:v>
                </c:pt>
                <c:pt idx="40">
                  <c:v>152</c:v>
                </c:pt>
                <c:pt idx="41">
                  <c:v>130</c:v>
                </c:pt>
                <c:pt idx="42">
                  <c:v>391</c:v>
                </c:pt>
                <c:pt idx="43">
                  <c:v>191</c:v>
                </c:pt>
                <c:pt idx="44">
                  <c:v>371</c:v>
                </c:pt>
                <c:pt idx="45">
                  <c:v>192</c:v>
                </c:pt>
                <c:pt idx="46">
                  <c:v>157</c:v>
                </c:pt>
                <c:pt idx="47">
                  <c:v>105</c:v>
                </c:pt>
                <c:pt idx="48">
                  <c:v>148</c:v>
                </c:pt>
                <c:pt idx="49">
                  <c:v>121</c:v>
                </c:pt>
                <c:pt idx="50">
                  <c:v>113</c:v>
                </c:pt>
                <c:pt idx="51">
                  <c:v>196</c:v>
                </c:pt>
                <c:pt idx="52">
                  <c:v>185</c:v>
                </c:pt>
                <c:pt idx="53">
                  <c:v>119</c:v>
                </c:pt>
                <c:pt idx="54">
                  <c:v>322</c:v>
                </c:pt>
                <c:pt idx="55">
                  <c:v>162</c:v>
                </c:pt>
                <c:pt idx="56">
                  <c:v>108</c:v>
                </c:pt>
                <c:pt idx="57">
                  <c:v>168</c:v>
                </c:pt>
                <c:pt idx="58">
                  <c:v>159</c:v>
                </c:pt>
                <c:pt idx="59">
                  <c:v>160</c:v>
                </c:pt>
                <c:pt idx="60">
                  <c:v>184</c:v>
                </c:pt>
                <c:pt idx="61">
                  <c:v>146</c:v>
                </c:pt>
                <c:pt idx="62">
                  <c:v>351</c:v>
                </c:pt>
                <c:pt idx="63">
                  <c:v>181</c:v>
                </c:pt>
                <c:pt idx="64">
                  <c:v>150</c:v>
                </c:pt>
                <c:pt idx="65">
                  <c:v>156</c:v>
                </c:pt>
                <c:pt idx="66">
                  <c:v>128</c:v>
                </c:pt>
                <c:pt idx="67">
                  <c:v>136</c:v>
                </c:pt>
                <c:pt idx="68">
                  <c:v>117</c:v>
                </c:pt>
                <c:pt idx="69">
                  <c:v>125</c:v>
                </c:pt>
                <c:pt idx="70">
                  <c:v>111</c:v>
                </c:pt>
                <c:pt idx="71">
                  <c:v>187</c:v>
                </c:pt>
                <c:pt idx="72">
                  <c:v>169</c:v>
                </c:pt>
                <c:pt idx="73">
                  <c:v>278</c:v>
                </c:pt>
                <c:pt idx="74">
                  <c:v>288</c:v>
                </c:pt>
              </c:numCache>
            </c:numRef>
          </c:val>
          <c:smooth val="0"/>
          <c:extLst>
            <c:ext xmlns:c16="http://schemas.microsoft.com/office/drawing/2014/chart" uri="{C3380CC4-5D6E-409C-BE32-E72D297353CC}">
              <c16:uniqueId val="{00000000-52FB-40E9-ADF1-BD4D3529EA8A}"/>
            </c:ext>
          </c:extLst>
        </c:ser>
        <c:dLbls>
          <c:showLegendKey val="0"/>
          <c:showVal val="0"/>
          <c:showCatName val="0"/>
          <c:showSerName val="0"/>
          <c:showPercent val="0"/>
          <c:showBubbleSize val="0"/>
        </c:dLbls>
        <c:smooth val="0"/>
        <c:axId val="887025055"/>
        <c:axId val="887025471"/>
      </c:lineChart>
      <c:catAx>
        <c:axId val="88702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5471"/>
        <c:crosses val="autoZero"/>
        <c:auto val="1"/>
        <c:lblAlgn val="ctr"/>
        <c:lblOffset val="100"/>
        <c:noMultiLvlLbl val="0"/>
      </c:catAx>
      <c:valAx>
        <c:axId val="88702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[Education_Dashboard_Dataset.xlsx]Average grades for each subject!Average grades for each subject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grades for each subject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grades for each subject'!$B$1</c:f>
              <c:strCache>
                <c:ptCount val="1"/>
                <c:pt idx="0">
                  <c:v>Total</c:v>
                </c:pt>
              </c:strCache>
            </c:strRef>
          </c:tx>
          <c:spPr>
            <a:solidFill>
              <a:schemeClr val="accent1"/>
            </a:solidFill>
            <a:ln>
              <a:noFill/>
            </a:ln>
            <a:effectLst/>
          </c:spPr>
          <c:invertIfNegative val="0"/>
          <c:cat>
            <c:strRef>
              <c:f>'Average grades for each subject'!$A$2:$A$18</c:f>
              <c:strCache>
                <c:ptCount val="16"/>
                <c:pt idx="0">
                  <c:v>Accounting</c:v>
                </c:pt>
                <c:pt idx="1">
                  <c:v>AI</c:v>
                </c:pt>
                <c:pt idx="2">
                  <c:v>Data Structure</c:v>
                </c:pt>
                <c:pt idx="3">
                  <c:v>Design</c:v>
                </c:pt>
                <c:pt idx="4">
                  <c:v>Economics</c:v>
                </c:pt>
                <c:pt idx="5">
                  <c:v>Electronics</c:v>
                </c:pt>
                <c:pt idx="6">
                  <c:v>Finance</c:v>
                </c:pt>
                <c:pt idx="7">
                  <c:v>History</c:v>
                </c:pt>
                <c:pt idx="8">
                  <c:v>Linguistics</c:v>
                </c:pt>
                <c:pt idx="9">
                  <c:v>Literature</c:v>
                </c:pt>
                <c:pt idx="10">
                  <c:v>Marketing</c:v>
                </c:pt>
                <c:pt idx="11">
                  <c:v>Math</c:v>
                </c:pt>
                <c:pt idx="12">
                  <c:v>Mechanics</c:v>
                </c:pt>
                <c:pt idx="13">
                  <c:v>Philosophy</c:v>
                </c:pt>
                <c:pt idx="14">
                  <c:v>Physics</c:v>
                </c:pt>
                <c:pt idx="15">
                  <c:v>Programming</c:v>
                </c:pt>
              </c:strCache>
            </c:strRef>
          </c:cat>
          <c:val>
            <c:numRef>
              <c:f>'Average grades for each subject'!$B$2:$B$18</c:f>
              <c:numCache>
                <c:formatCode>General</c:formatCode>
                <c:ptCount val="16"/>
                <c:pt idx="0">
                  <c:v>416</c:v>
                </c:pt>
                <c:pt idx="1">
                  <c:v>400</c:v>
                </c:pt>
                <c:pt idx="2">
                  <c:v>503</c:v>
                </c:pt>
                <c:pt idx="3">
                  <c:v>369</c:v>
                </c:pt>
                <c:pt idx="4">
                  <c:v>321</c:v>
                </c:pt>
                <c:pt idx="5">
                  <c:v>422</c:v>
                </c:pt>
                <c:pt idx="6">
                  <c:v>864</c:v>
                </c:pt>
                <c:pt idx="7">
                  <c:v>395</c:v>
                </c:pt>
                <c:pt idx="8">
                  <c:v>408</c:v>
                </c:pt>
                <c:pt idx="9">
                  <c:v>366</c:v>
                </c:pt>
                <c:pt idx="10">
                  <c:v>424</c:v>
                </c:pt>
                <c:pt idx="11">
                  <c:v>754</c:v>
                </c:pt>
                <c:pt idx="12">
                  <c:v>579</c:v>
                </c:pt>
                <c:pt idx="13">
                  <c:v>253</c:v>
                </c:pt>
                <c:pt idx="14">
                  <c:v>286</c:v>
                </c:pt>
                <c:pt idx="15">
                  <c:v>326</c:v>
                </c:pt>
              </c:numCache>
            </c:numRef>
          </c:val>
          <c:extLst>
            <c:ext xmlns:c16="http://schemas.microsoft.com/office/drawing/2014/chart" uri="{C3380CC4-5D6E-409C-BE32-E72D297353CC}">
              <c16:uniqueId val="{00000000-5140-4DF2-8470-C130893332B0}"/>
            </c:ext>
          </c:extLst>
        </c:ser>
        <c:dLbls>
          <c:showLegendKey val="0"/>
          <c:showVal val="0"/>
          <c:showCatName val="0"/>
          <c:showSerName val="0"/>
          <c:showPercent val="0"/>
          <c:showBubbleSize val="0"/>
        </c:dLbls>
        <c:gapWidth val="182"/>
        <c:axId val="816851679"/>
        <c:axId val="1397529599"/>
      </c:barChart>
      <c:catAx>
        <c:axId val="81685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529599"/>
        <c:crosses val="autoZero"/>
        <c:auto val="1"/>
        <c:lblAlgn val="ctr"/>
        <c:lblOffset val="100"/>
        <c:noMultiLvlLbl val="0"/>
      </c:catAx>
      <c:valAx>
        <c:axId val="139752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5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[Education_Dashboard_Dataset.xlsx]Attendece!PivotTable3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Attendece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Attendece!$E$1</c:f>
              <c:strCache>
                <c:ptCount val="1"/>
                <c:pt idx="0">
                  <c:v>Total</c:v>
                </c:pt>
              </c:strCache>
            </c:strRef>
          </c:tx>
          <c:spPr>
            <a:solidFill>
              <a:schemeClr val="accent1"/>
            </a:solidFill>
            <a:ln>
              <a:noFill/>
            </a:ln>
            <a:effectLst/>
          </c:spPr>
          <c:invertIfNegative val="0"/>
          <c:cat>
            <c:strRef>
              <c:f>Attendece!$D$2:$D$33</c:f>
              <c:strCache>
                <c:ptCount val="31"/>
                <c:pt idx="0">
                  <c:v>100%</c:v>
                </c:pt>
                <c:pt idx="1">
                  <c:v>70%</c:v>
                </c:pt>
                <c:pt idx="2">
                  <c:v>71%</c:v>
                </c:pt>
                <c:pt idx="3">
                  <c:v>72%</c:v>
                </c:pt>
                <c:pt idx="4">
                  <c:v>73%</c:v>
                </c:pt>
                <c:pt idx="5">
                  <c:v>74%</c:v>
                </c:pt>
                <c:pt idx="6">
                  <c:v>75%</c:v>
                </c:pt>
                <c:pt idx="7">
                  <c:v>76%</c:v>
                </c:pt>
                <c:pt idx="8">
                  <c:v>77%</c:v>
                </c:pt>
                <c:pt idx="9">
                  <c:v>78%</c:v>
                </c:pt>
                <c:pt idx="10">
                  <c:v>79%</c:v>
                </c:pt>
                <c:pt idx="11">
                  <c:v>80%</c:v>
                </c:pt>
                <c:pt idx="12">
                  <c:v>81%</c:v>
                </c:pt>
                <c:pt idx="13">
                  <c:v>82%</c:v>
                </c:pt>
                <c:pt idx="14">
                  <c:v>83%</c:v>
                </c:pt>
                <c:pt idx="15">
                  <c:v>84%</c:v>
                </c:pt>
                <c:pt idx="16">
                  <c:v>85%</c:v>
                </c:pt>
                <c:pt idx="17">
                  <c:v>86%</c:v>
                </c:pt>
                <c:pt idx="18">
                  <c:v>87%</c:v>
                </c:pt>
                <c:pt idx="19">
                  <c:v>88%</c:v>
                </c:pt>
                <c:pt idx="20">
                  <c:v>89%</c:v>
                </c:pt>
                <c:pt idx="21">
                  <c:v>90%</c:v>
                </c:pt>
                <c:pt idx="22">
                  <c:v>91%</c:v>
                </c:pt>
                <c:pt idx="23">
                  <c:v>92%</c:v>
                </c:pt>
                <c:pt idx="24">
                  <c:v>93%</c:v>
                </c:pt>
                <c:pt idx="25">
                  <c:v>94%</c:v>
                </c:pt>
                <c:pt idx="26">
                  <c:v>95%</c:v>
                </c:pt>
                <c:pt idx="27">
                  <c:v>96%</c:v>
                </c:pt>
                <c:pt idx="28">
                  <c:v>97%</c:v>
                </c:pt>
                <c:pt idx="29">
                  <c:v>98%</c:v>
                </c:pt>
                <c:pt idx="30">
                  <c:v>99%</c:v>
                </c:pt>
              </c:strCache>
            </c:strRef>
          </c:cat>
          <c:val>
            <c:numRef>
              <c:f>Attendece!$E$2:$E$33</c:f>
              <c:numCache>
                <c:formatCode>General</c:formatCode>
                <c:ptCount val="31"/>
                <c:pt idx="0">
                  <c:v>1</c:v>
                </c:pt>
                <c:pt idx="1">
                  <c:v>2</c:v>
                </c:pt>
                <c:pt idx="2">
                  <c:v>1</c:v>
                </c:pt>
                <c:pt idx="3">
                  <c:v>1</c:v>
                </c:pt>
                <c:pt idx="4">
                  <c:v>5</c:v>
                </c:pt>
                <c:pt idx="5">
                  <c:v>2</c:v>
                </c:pt>
                <c:pt idx="6">
                  <c:v>4</c:v>
                </c:pt>
                <c:pt idx="7">
                  <c:v>3</c:v>
                </c:pt>
                <c:pt idx="8">
                  <c:v>3</c:v>
                </c:pt>
                <c:pt idx="9">
                  <c:v>4</c:v>
                </c:pt>
                <c:pt idx="10">
                  <c:v>3</c:v>
                </c:pt>
                <c:pt idx="11">
                  <c:v>2</c:v>
                </c:pt>
                <c:pt idx="12">
                  <c:v>4</c:v>
                </c:pt>
                <c:pt idx="13">
                  <c:v>3</c:v>
                </c:pt>
                <c:pt idx="14">
                  <c:v>4</c:v>
                </c:pt>
                <c:pt idx="15">
                  <c:v>3</c:v>
                </c:pt>
                <c:pt idx="16">
                  <c:v>7</c:v>
                </c:pt>
                <c:pt idx="17">
                  <c:v>1</c:v>
                </c:pt>
                <c:pt idx="18">
                  <c:v>3</c:v>
                </c:pt>
                <c:pt idx="19">
                  <c:v>3</c:v>
                </c:pt>
                <c:pt idx="20">
                  <c:v>3</c:v>
                </c:pt>
                <c:pt idx="21">
                  <c:v>4</c:v>
                </c:pt>
                <c:pt idx="22">
                  <c:v>4</c:v>
                </c:pt>
                <c:pt idx="23">
                  <c:v>3</c:v>
                </c:pt>
                <c:pt idx="24">
                  <c:v>6</c:v>
                </c:pt>
                <c:pt idx="25">
                  <c:v>5</c:v>
                </c:pt>
                <c:pt idx="26">
                  <c:v>4</c:v>
                </c:pt>
                <c:pt idx="27">
                  <c:v>7</c:v>
                </c:pt>
                <c:pt idx="28">
                  <c:v>2</c:v>
                </c:pt>
                <c:pt idx="29">
                  <c:v>1</c:v>
                </c:pt>
                <c:pt idx="30">
                  <c:v>2</c:v>
                </c:pt>
              </c:numCache>
            </c:numRef>
          </c:val>
          <c:extLst>
            <c:ext xmlns:c16="http://schemas.microsoft.com/office/drawing/2014/chart" uri="{C3380CC4-5D6E-409C-BE32-E72D297353CC}">
              <c16:uniqueId val="{00000000-0E7C-4B70-AE6B-B530CCE68F13}"/>
            </c:ext>
          </c:extLst>
        </c:ser>
        <c:dLbls>
          <c:showLegendKey val="0"/>
          <c:showVal val="0"/>
          <c:showCatName val="0"/>
          <c:showSerName val="0"/>
          <c:showPercent val="0"/>
          <c:showBubbleSize val="0"/>
        </c:dLbls>
        <c:gapWidth val="219"/>
        <c:overlap val="-27"/>
        <c:axId val="1566628431"/>
        <c:axId val="1566628847"/>
      </c:barChart>
      <c:catAx>
        <c:axId val="156662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28847"/>
        <c:crosses val="autoZero"/>
        <c:auto val="1"/>
        <c:lblAlgn val="ctr"/>
        <c:lblOffset val="100"/>
        <c:noMultiLvlLbl val="0"/>
      </c:catAx>
      <c:valAx>
        <c:axId val="156662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62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Students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 Students</a:t>
          </a:r>
        </a:p>
      </cx:txPr>
    </cx:title>
    <cx:plotArea>
      <cx:plotAreaRegion>
        <cx:series layoutId="funnel" uniqueId="{5A2CE893-C9EF-4FA3-9138-FAF07AC18DFC}">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Top 10 Students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 Students</a:t>
          </a:r>
        </a:p>
      </cx:txPr>
    </cx:title>
    <cx:plotArea>
      <cx:plotAreaRegion>
        <cx:series layoutId="funnel" uniqueId="{5A2CE893-C9EF-4FA3-9138-FAF07AC18DFC}">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image" Target="../media/image3.emf"/><Relationship Id="rId1" Type="http://schemas.openxmlformats.org/officeDocument/2006/relationships/image" Target="../media/image2.emf"/><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1343025</xdr:colOff>
      <xdr:row>4</xdr:row>
      <xdr:rowOff>109537</xdr:rowOff>
    </xdr:from>
    <xdr:to>
      <xdr:col>10</xdr:col>
      <xdr:colOff>238125</xdr:colOff>
      <xdr:row>18</xdr:row>
      <xdr:rowOff>185737</xdr:rowOff>
    </xdr:to>
    <xdr:graphicFrame macro="">
      <xdr:nvGraphicFramePr>
        <xdr:cNvPr id="2" name="Chart 1">
          <a:extLst>
            <a:ext uri="{FF2B5EF4-FFF2-40B4-BE49-F238E27FC236}">
              <a16:creationId xmlns:a16="http://schemas.microsoft.com/office/drawing/2014/main" id="{04D232AB-E0FA-449F-B191-DCC810FBB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200025</xdr:colOff>
      <xdr:row>4</xdr:row>
      <xdr:rowOff>100012</xdr:rowOff>
    </xdr:from>
    <xdr:to>
      <xdr:col>18</xdr:col>
      <xdr:colOff>200025</xdr:colOff>
      <xdr:row>18</xdr:row>
      <xdr:rowOff>176212</xdr:rowOff>
    </xdr:to>
    <xdr:graphicFrame macro="">
      <xdr:nvGraphicFramePr>
        <xdr:cNvPr id="2" name="Chart 1">
          <a:extLst>
            <a:ext uri="{FF2B5EF4-FFF2-40B4-BE49-F238E27FC236}">
              <a16:creationId xmlns:a16="http://schemas.microsoft.com/office/drawing/2014/main" id="{3214C64E-222A-44F1-BCC0-0591001C6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574221</xdr:colOff>
          <xdr:row>1</xdr:row>
          <xdr:rowOff>190499</xdr:rowOff>
        </xdr:from>
        <xdr:to>
          <xdr:col>17</xdr:col>
          <xdr:colOff>363682</xdr:colOff>
          <xdr:row>3</xdr:row>
          <xdr:rowOff>175532</xdr:rowOff>
        </xdr:to>
        <xdr:pic>
          <xdr:nvPicPr>
            <xdr:cNvPr id="2" name="Picture 1">
              <a:extLst>
                <a:ext uri="{FF2B5EF4-FFF2-40B4-BE49-F238E27FC236}">
                  <a16:creationId xmlns:a16="http://schemas.microsoft.com/office/drawing/2014/main" id="{3F2760ED-313E-4469-BDA0-18CD98982EEC}"/>
                </a:ext>
              </a:extLst>
            </xdr:cNvPr>
            <xdr:cNvPicPr>
              <a:picLocks noChangeAspect="1" noChangeArrowheads="1"/>
              <a:extLst>
                <a:ext uri="{84589F7E-364E-4C9E-8A38-B11213B215E9}">
                  <a14:cameraTool cellRange="Grade!$B$2:$F$3" spid="_x0000_s2065"/>
                </a:ext>
              </a:extLst>
            </xdr:cNvPicPr>
          </xdr:nvPicPr>
          <xdr:blipFill>
            <a:blip xmlns:r="http://schemas.openxmlformats.org/officeDocument/2006/relationships" r:embed="rId1"/>
            <a:srcRect/>
            <a:stretch>
              <a:fillRect/>
            </a:stretch>
          </xdr:blipFill>
          <xdr:spPr bwMode="auto">
            <a:xfrm>
              <a:off x="8453994" y="380999"/>
              <a:ext cx="2214006" cy="36603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242454</xdr:colOff>
          <xdr:row>2</xdr:row>
          <xdr:rowOff>0</xdr:rowOff>
        </xdr:from>
        <xdr:to>
          <xdr:col>13</xdr:col>
          <xdr:colOff>438149</xdr:colOff>
          <xdr:row>3</xdr:row>
          <xdr:rowOff>179614</xdr:rowOff>
        </xdr:to>
        <xdr:pic>
          <xdr:nvPicPr>
            <xdr:cNvPr id="3" name="Picture 2">
              <a:extLst>
                <a:ext uri="{FF2B5EF4-FFF2-40B4-BE49-F238E27FC236}">
                  <a16:creationId xmlns:a16="http://schemas.microsoft.com/office/drawing/2014/main" id="{0E013A8A-4FFE-4003-8101-09999200D6D5}"/>
                </a:ext>
              </a:extLst>
            </xdr:cNvPr>
            <xdr:cNvPicPr>
              <a:picLocks noChangeAspect="1" noChangeArrowheads="1"/>
              <a:extLst>
                <a:ext uri="{84589F7E-364E-4C9E-8A38-B11213B215E9}">
                  <a14:cameraTool cellRange="'Success and failure rate'!$B$2:$C$3" spid="_x0000_s2066"/>
                </a:ext>
              </a:extLst>
            </xdr:cNvPicPr>
          </xdr:nvPicPr>
          <xdr:blipFill>
            <a:blip xmlns:r="http://schemas.openxmlformats.org/officeDocument/2006/relationships" r:embed="rId2"/>
            <a:srcRect/>
            <a:stretch>
              <a:fillRect/>
            </a:stretch>
          </xdr:blipFill>
          <xdr:spPr bwMode="auto">
            <a:xfrm>
              <a:off x="6303818" y="381000"/>
              <a:ext cx="2014104" cy="3701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519545</xdr:colOff>
      <xdr:row>32</xdr:row>
      <xdr:rowOff>176892</xdr:rowOff>
    </xdr:from>
    <xdr:to>
      <xdr:col>13</xdr:col>
      <xdr:colOff>114300</xdr:colOff>
      <xdr:row>47</xdr:row>
      <xdr:rowOff>62592</xdr:rowOff>
    </xdr:to>
    <xdr:graphicFrame macro="">
      <xdr:nvGraphicFramePr>
        <xdr:cNvPr id="4" name="Chart 3">
          <a:extLst>
            <a:ext uri="{FF2B5EF4-FFF2-40B4-BE49-F238E27FC236}">
              <a16:creationId xmlns:a16="http://schemas.microsoft.com/office/drawing/2014/main" id="{04B7A1D3-3083-4877-8B08-E3FFA2D74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517071</xdr:colOff>
      <xdr:row>18</xdr:row>
      <xdr:rowOff>81643</xdr:rowOff>
    </xdr:from>
    <xdr:to>
      <xdr:col>13</xdr:col>
      <xdr:colOff>141512</xdr:colOff>
      <xdr:row>32</xdr:row>
      <xdr:rowOff>157843</xdr:rowOff>
    </xdr:to>
    <xdr:graphicFrame macro="">
      <xdr:nvGraphicFramePr>
        <xdr:cNvPr id="5" name="Chart 4">
          <a:extLst>
            <a:ext uri="{FF2B5EF4-FFF2-40B4-BE49-F238E27FC236}">
              <a16:creationId xmlns:a16="http://schemas.microsoft.com/office/drawing/2014/main" id="{BE65CB8E-1DAD-46C7-8436-BAB92F780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101435</xdr:colOff>
      <xdr:row>32</xdr:row>
      <xdr:rowOff>170089</xdr:rowOff>
    </xdr:from>
    <xdr:to>
      <xdr:col>20</xdr:col>
      <xdr:colOff>400050</xdr:colOff>
      <xdr:row>47</xdr:row>
      <xdr:rowOff>55789</xdr:rowOff>
    </xdr:to>
    <xdr:graphicFrame macro="">
      <xdr:nvGraphicFramePr>
        <xdr:cNvPr id="6" name="Chart 5">
          <a:extLst>
            <a:ext uri="{FF2B5EF4-FFF2-40B4-BE49-F238E27FC236}">
              <a16:creationId xmlns:a16="http://schemas.microsoft.com/office/drawing/2014/main" id="{64EBBDF6-A906-4010-8D97-0CEA7A9C0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149678</xdr:colOff>
      <xdr:row>18</xdr:row>
      <xdr:rowOff>81643</xdr:rowOff>
    </xdr:from>
    <xdr:to>
      <xdr:col>20</xdr:col>
      <xdr:colOff>408214</xdr:colOff>
      <xdr:row>32</xdr:row>
      <xdr:rowOff>157843</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CAD5E09A-A089-49E9-ABDD-B924DB553E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09857" y="3510643"/>
              <a:ext cx="4544786"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503465</xdr:colOff>
      <xdr:row>3</xdr:row>
      <xdr:rowOff>176892</xdr:rowOff>
    </xdr:from>
    <xdr:to>
      <xdr:col>20</xdr:col>
      <xdr:colOff>421821</xdr:colOff>
      <xdr:row>18</xdr:row>
      <xdr:rowOff>62592</xdr:rowOff>
    </xdr:to>
    <xdr:graphicFrame macro="">
      <xdr:nvGraphicFramePr>
        <xdr:cNvPr id="8" name="Chart 7">
          <a:extLst>
            <a:ext uri="{FF2B5EF4-FFF2-40B4-BE49-F238E27FC236}">
              <a16:creationId xmlns:a16="http://schemas.microsoft.com/office/drawing/2014/main" id="{001AC2E8-861E-4216-A746-FF092D300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481445</xdr:colOff>
      <xdr:row>4</xdr:row>
      <xdr:rowOff>34635</xdr:rowOff>
    </xdr:from>
    <xdr:to>
      <xdr:col>5</xdr:col>
      <xdr:colOff>491836</xdr:colOff>
      <xdr:row>18</xdr:row>
      <xdr:rowOff>83994</xdr:rowOff>
    </xdr:to>
    <mc:AlternateContent xmlns:mc="http://schemas.openxmlformats.org/markup-compatibility/2006">
      <mc:Choice xmlns:a14="http://schemas.microsoft.com/office/drawing/2010/main" Requires="a14">
        <xdr:graphicFrame macro="">
          <xdr:nvGraphicFramePr>
            <xdr:cNvPr id="9" name="Subject">
              <a:extLst>
                <a:ext uri="{FF2B5EF4-FFF2-40B4-BE49-F238E27FC236}">
                  <a16:creationId xmlns:a16="http://schemas.microsoft.com/office/drawing/2014/main" id="{3FD4D08D-2E66-4AA8-BCF6-5E27E6BE2D15}"/>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1706088" y="796635"/>
              <a:ext cx="1847355" cy="2716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507422</xdr:colOff>
      <xdr:row>18</xdr:row>
      <xdr:rowOff>69272</xdr:rowOff>
    </xdr:from>
    <xdr:to>
      <xdr:col>5</xdr:col>
      <xdr:colOff>517813</xdr:colOff>
      <xdr:row>33</xdr:row>
      <xdr:rowOff>6061</xdr:rowOff>
    </xdr:to>
    <mc:AlternateContent xmlns:mc="http://schemas.openxmlformats.org/markup-compatibility/2006">
      <mc:Choice xmlns:a14="http://schemas.microsoft.com/office/drawing/2010/main" Requires="a14">
        <xdr:graphicFrame macro="">
          <xdr:nvGraphicFramePr>
            <xdr:cNvPr id="10" name="Attendance%">
              <a:extLst>
                <a:ext uri="{FF2B5EF4-FFF2-40B4-BE49-F238E27FC236}">
                  <a16:creationId xmlns:a16="http://schemas.microsoft.com/office/drawing/2014/main" id="{D8281AA1-C8B5-43A5-A001-4D8D9F4D1415}"/>
                </a:ext>
              </a:extLst>
            </xdr:cNvPr>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dr:sp macro="" textlink="">
          <xdr:nvSpPr>
            <xdr:cNvPr id="0" name=""/>
            <xdr:cNvSpPr>
              <a:spLocks noTextEdit="1"/>
            </xdr:cNvSpPr>
          </xdr:nvSpPr>
          <xdr:spPr>
            <a:xfrm>
              <a:off x="1732065" y="3498272"/>
              <a:ext cx="1847355" cy="2794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516081</xdr:colOff>
      <xdr:row>32</xdr:row>
      <xdr:rowOff>138545</xdr:rowOff>
    </xdr:from>
    <xdr:to>
      <xdr:col>5</xdr:col>
      <xdr:colOff>526472</xdr:colOff>
      <xdr:row>46</xdr:row>
      <xdr:rowOff>153267</xdr:rowOff>
    </xdr:to>
    <mc:AlternateContent xmlns:mc="http://schemas.openxmlformats.org/markup-compatibility/2006">
      <mc:Choice xmlns:a14="http://schemas.microsoft.com/office/drawing/2010/main" Requires="a14">
        <xdr:graphicFrame macro="">
          <xdr:nvGraphicFramePr>
            <xdr:cNvPr id="11" name="Score">
              <a:extLst>
                <a:ext uri="{FF2B5EF4-FFF2-40B4-BE49-F238E27FC236}">
                  <a16:creationId xmlns:a16="http://schemas.microsoft.com/office/drawing/2014/main" id="{582949FF-4D7E-421B-87E6-0A4C10C4E33F}"/>
                </a:ext>
              </a:extLst>
            </xdr:cNvPr>
            <xdr:cNvGraphicFramePr/>
          </xdr:nvGraphicFramePr>
          <xdr:xfrm>
            <a:off x="0" y="0"/>
            <a:ext cx="0" cy="0"/>
          </xdr:xfrm>
          <a:graphic>
            <a:graphicData uri="http://schemas.microsoft.com/office/drawing/2010/slicer">
              <sle:slicer xmlns:sle="http://schemas.microsoft.com/office/drawing/2010/slicer" name="Score"/>
            </a:graphicData>
          </a:graphic>
        </xdr:graphicFrame>
      </mc:Choice>
      <mc:Fallback>
        <xdr:sp macro="" textlink="">
          <xdr:nvSpPr>
            <xdr:cNvPr id="0" name=""/>
            <xdr:cNvSpPr>
              <a:spLocks noTextEdit="1"/>
            </xdr:cNvSpPr>
          </xdr:nvSpPr>
          <xdr:spPr>
            <a:xfrm>
              <a:off x="1740724" y="6234545"/>
              <a:ext cx="1847355" cy="2681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90487</xdr:colOff>
      <xdr:row>5</xdr:row>
      <xdr:rowOff>42862</xdr:rowOff>
    </xdr:from>
    <xdr:to>
      <xdr:col>10</xdr:col>
      <xdr:colOff>395287</xdr:colOff>
      <xdr:row>19</xdr:row>
      <xdr:rowOff>119062</xdr:rowOff>
    </xdr:to>
    <xdr:graphicFrame macro="">
      <xdr:nvGraphicFramePr>
        <xdr:cNvPr id="3" name="Chart 2">
          <a:extLst>
            <a:ext uri="{FF2B5EF4-FFF2-40B4-BE49-F238E27FC236}">
              <a16:creationId xmlns:a16="http://schemas.microsoft.com/office/drawing/2014/main" id="{4B9F56FA-4A2D-45A5-8AE4-490E40A0C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1260661</xdr:colOff>
      <xdr:row>7</xdr:row>
      <xdr:rowOff>45943</xdr:rowOff>
    </xdr:from>
    <xdr:to>
      <xdr:col>19</xdr:col>
      <xdr:colOff>184897</xdr:colOff>
      <xdr:row>21</xdr:row>
      <xdr:rowOff>122143</xdr:rowOff>
    </xdr:to>
    <xdr:graphicFrame macro="">
      <xdr:nvGraphicFramePr>
        <xdr:cNvPr id="2" name="Chart 1">
          <a:extLst>
            <a:ext uri="{FF2B5EF4-FFF2-40B4-BE49-F238E27FC236}">
              <a16:creationId xmlns:a16="http://schemas.microsoft.com/office/drawing/2014/main" id="{585F1222-3274-4780-A17C-58E42373A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128587</xdr:colOff>
      <xdr:row>5</xdr:row>
      <xdr:rowOff>42862</xdr:rowOff>
    </xdr:from>
    <xdr:to>
      <xdr:col>10</xdr:col>
      <xdr:colOff>433387</xdr:colOff>
      <xdr:row>19</xdr:row>
      <xdr:rowOff>119062</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4D591AF-E5F6-4BDA-B3FF-106D3A9025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43162" y="995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934.407423263889" backgroundQuery="1" createdVersion="7" refreshedVersion="7" minRefreshableVersion="3" recordCount="0" supportSubquery="1" supportAdvancedDrill="1" xr:uid="{DFC9CD06-EB41-4432-AF25-56CA8FEB62E4}">
  <cacheSource type="external" connectionId="1"/>
  <cacheFields count="3">
    <cacheField name="[Table2].[ExamDate].[ExamDate]" caption="ExamDate" numFmtId="0" hierarchy="6" level="1">
      <sharedItems count="75">
        <s v="2025-01-03"/>
        <s v="2025-01-08"/>
        <s v="2025-01-09"/>
        <s v="2025-01-13"/>
        <s v="2025-01-15"/>
        <s v="2025-01-16"/>
        <s v="2025-01-17"/>
        <s v="2025-01-18"/>
        <s v="2025-01-20"/>
        <s v="2025-01-22"/>
        <s v="2025-01-25"/>
        <s v="2025-01-28"/>
        <s v="2025-02-04"/>
        <s v="2025-02-05"/>
        <s v="2025-02-07"/>
        <s v="2025-02-08"/>
        <s v="2025-02-12"/>
        <s v="2025-02-15"/>
        <s v="2025-02-20"/>
        <s v="2025-02-21"/>
        <s v="2025-02-22"/>
        <s v="2025-02-24"/>
        <s v="2025-02-26"/>
        <s v="2025-02-28"/>
        <s v="2025-03-04"/>
        <s v="2025-03-06"/>
        <s v="2025-03-07"/>
        <s v="2025-03-09"/>
        <s v="2025-03-14"/>
        <s v="2025-03-17"/>
        <s v="2025-03-19"/>
        <s v="2025-03-27"/>
        <s v="2025-04-03"/>
        <s v="2025-04-05"/>
        <s v="2025-04-06"/>
        <s v="2025-04-07"/>
        <s v="2025-04-09"/>
        <s v="2025-04-11"/>
        <s v="2025-04-14"/>
        <s v="2025-04-19"/>
        <s v="2025-04-21"/>
        <s v="2025-04-22"/>
        <s v="2025-04-23"/>
        <s v="2025-04-24"/>
        <s v="2025-04-27"/>
        <s v="2025-05-02"/>
        <s v="2025-05-03"/>
        <s v="2025-05-04"/>
        <s v="2025-05-05"/>
        <s v="2025-05-08"/>
        <s v="2025-05-09"/>
        <s v="2025-05-12"/>
        <s v="2025-05-14"/>
        <s v="2025-05-15"/>
        <s v="2025-05-17"/>
        <s v="2025-05-19"/>
        <s v="2025-05-21"/>
        <s v="2025-05-22"/>
        <s v="2025-05-23"/>
        <s v="2025-05-24"/>
        <s v="2025-05-25"/>
        <s v="2025-05-26"/>
        <s v="2025-06-03"/>
        <s v="2025-06-05"/>
        <s v="2025-06-06"/>
        <s v="2025-06-08"/>
        <s v="2025-06-11"/>
        <s v="2025-06-14"/>
        <s v="2025-06-16"/>
        <s v="2025-06-18"/>
        <s v="2025-06-19"/>
        <s v="2025-06-20"/>
        <s v="2025-06-25"/>
        <s v="2025-06-27"/>
        <s v="2025-06-28"/>
      </sharedItems>
    </cacheField>
    <cacheField name="[Measures].[Sum of StudentID]" caption="Sum of StudentID" numFmtId="0" hierarchy="26" level="32767"/>
    <cacheField name="[Table2].[Score].[Score]" caption="Score" numFmtId="0" hierarchy="7" level="1">
      <sharedItems containsSemiMixedTypes="0" containsNonDate="0" containsString="0"/>
    </cacheField>
  </cacheFields>
  <cacheHierarchies count="28">
    <cacheHierarchy uniqueName="[Table2].[StudentID]" caption="StudentID" attribute="1" defaultMemberUniqueName="[Table2].[StudentID].[All]" allUniqueName="[Table2].[StudentID].[All]" dimensionUniqueName="[Table2]" displayFolder="" count="2" memberValueDatatype="20" unbalanced="0"/>
    <cacheHierarchy uniqueName="[Table2].[Name]" caption="Name" attribute="1" defaultMemberUniqueName="[Table2].[Name].[All]" allUniqueName="[Table2].[Nam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Age]" caption="Age" attribute="1" defaultMemberUniqueName="[Table2].[Age].[All]" allUniqueName="[Table2].[Age].[All]" dimensionUniqueName="[Table2]" displayFolder="" count="2" memberValueDatatype="20" unbalanced="0"/>
    <cacheHierarchy uniqueName="[Table2].[Department]" caption="Department" attribute="1" defaultMemberUniqueName="[Table2].[Department].[All]" allUniqueName="[Table2].[Department].[All]" dimensionUniqueName="[Table2]" displayFolder="" count="2" memberValueDatatype="130" unbalanced="0"/>
    <cacheHierarchy uniqueName="[Table2].[Subject]" caption="Subject" attribute="1" defaultMemberUniqueName="[Table2].[Subject].[All]" allUniqueName="[Table2].[Subject].[All]" dimensionUniqueName="[Table2]" displayFolder="" count="2" memberValueDatatype="130" unbalanced="0"/>
    <cacheHierarchy uniqueName="[Table2].[ExamDate]" caption="ExamDate" attribute="1" defaultMemberUniqueName="[Table2].[ExamDate].[All]" allUniqueName="[Table2].[ExamDate].[All]" dimensionUniqueName="[Table2]" displayFolder="" count="2" memberValueDatatype="130" unbalanced="0">
      <fieldsUsage count="2">
        <fieldUsage x="-1"/>
        <fieldUsage x="0"/>
      </fieldsUsage>
    </cacheHierarchy>
    <cacheHierarchy uniqueName="[Table2].[Score]" caption="Score" attribute="1" defaultMemberUniqueName="[Table2].[Score].[All]" allUniqueName="[Table2].[Score].[All]" dimensionUniqueName="[Table2]" displayFolder="" count="2" memberValueDatatype="20" unbalanced="0">
      <fieldsUsage count="2">
        <fieldUsage x="-1"/>
        <fieldUsage x="2"/>
      </fieldsUsage>
    </cacheHierarchy>
    <cacheHierarchy uniqueName="[Table2].[Attendance%]" caption="Attendance%" attribute="1" defaultMemberUniqueName="[Table2].[Attendance%].[All]" allUniqueName="[Table2].[Attendance%].[All]" dimensionUniqueName="[Table2]" displayFolder="" count="2" memberValueDatatype="130" unbalanced="0"/>
    <cacheHierarchy uniqueName="[Table2].[Grade]" caption="Grade" attribute="1" defaultMemberUniqueName="[Table2].[Grade].[All]" allUniqueName="[Table2].[Grade].[All]" dimensionUniqueName="[Table2]" displayFolder="" count="2" memberValueDatatype="130" unbalanced="0"/>
    <cacheHierarchy uniqueName="[Table2].[Semester]" caption="Semester" attribute="1" defaultMemberUniqueName="[Table2].[Semester].[All]" allUniqueName="[Table2].[Semester].[All]" dimensionUniqueName="[Table2]" displayFolder="" count="2" memberValueDatatype="20" unbalanced="0"/>
    <cacheHierarchy uniqueName="[Table2].[City]" caption="City" attribute="1" defaultMemberUniqueName="[Table2].[City].[All]" allUniqueName="[Table2].[City].[All]" dimensionUniqueName="[Table2]" displayFolder="" count="2" memberValueDatatype="130" unbalanced="0"/>
    <cacheHierarchy uniqueName="[Table2].[Percentage]" caption="Percentage" attribute="1" defaultMemberUniqueName="[Table2].[Percentage].[All]" allUniqueName="[Table2].[Percentage].[All]" dimensionUniqueName="[Table2]" displayFolder="" count="2" memberValueDatatype="5" unbalanced="0"/>
    <cacheHierarchy uniqueName="[Table2].[Pass/Fail]" caption="Pass/Fail" attribute="1" defaultMemberUniqueName="[Table2].[Pass/Fail].[All]" allUniqueName="[Table2].[Pass/Fail].[All]" dimensionUniqueName="[Table2]" displayFolder="" count="2" memberValueDatatype="130" unbalanced="0"/>
    <cacheHierarchy uniqueName="[Table2].[Average student grades]" caption="Average student grades" attribute="1" defaultMemberUniqueName="[Table2].[Average student grades].[All]" allUniqueName="[Table2].[Average student grades].[All]" dimensionUniqueName="[Table2]" displayFolder="" count="2" memberValueDatatype="130" unbalanced="0"/>
    <cacheHierarchy uniqueName="[Table2].[Number of successful students]" caption="Number of successful students" attribute="1" defaultMemberUniqueName="[Table2].[Number of successful students].[All]" allUniqueName="[Table2].[Number of successful students].[All]" dimensionUniqueName="[Table2]" displayFolder="" count="2"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ss/Fail]" caption="Count of Pass/Fail" measure="1" displayFolder="" measureGroup="Table2" count="0" hidden="1">
      <extLst>
        <ext xmlns:x15="http://schemas.microsoft.com/office/spreadsheetml/2010/11/main" uri="{B97F6D7D-B522-45F9-BDA1-12C45D357490}">
          <x15:cacheHierarchy aggregatedColumn="13"/>
        </ext>
      </extLst>
    </cacheHierarchy>
    <cacheHierarchy uniqueName="[Measures].[Sum of Score]" caption="Sum of Score" measure="1" displayFolder="" measureGroup="Table2" count="0" hidden="1">
      <extLst>
        <ext xmlns:x15="http://schemas.microsoft.com/office/spreadsheetml/2010/11/main" uri="{B97F6D7D-B522-45F9-BDA1-12C45D357490}">
          <x15:cacheHierarchy aggregatedColumn="7"/>
        </ext>
      </extLst>
    </cacheHierarchy>
    <cacheHierarchy uniqueName="[Measures].[Count of Grade]" caption="Count of Grade" measure="1" displayFolder="" measureGroup="Table2" count="0" hidden="1">
      <extLst>
        <ext xmlns:x15="http://schemas.microsoft.com/office/spreadsheetml/2010/11/main" uri="{B97F6D7D-B522-45F9-BDA1-12C45D357490}">
          <x15:cacheHierarchy aggregatedColumn="9"/>
        </ext>
      </extLst>
    </cacheHierarchy>
    <cacheHierarchy uniqueName="[Measures].[Count of Attendance%]" caption="Count of Attendance%" measure="1" displayFolder="" measureGroup="Table2" count="0" hidden="1">
      <extLst>
        <ext xmlns:x15="http://schemas.microsoft.com/office/spreadsheetml/2010/11/main" uri="{B97F6D7D-B522-45F9-BDA1-12C45D357490}">
          <x15:cacheHierarchy aggregatedColumn="8"/>
        </ext>
      </extLst>
    </cacheHierarchy>
    <cacheHierarchy uniqueName="[Measures].[Max of Score]" caption="Max of Score" measure="1" displayFolder="" measureGroup="Table2" count="0" hidden="1">
      <extLst>
        <ext xmlns:x15="http://schemas.microsoft.com/office/spreadsheetml/2010/11/main" uri="{B97F6D7D-B522-45F9-BDA1-12C45D357490}">
          <x15:cacheHierarchy aggregatedColumn="7"/>
        </ext>
      </extLst>
    </cacheHierarchy>
    <cacheHierarchy uniqueName="[Measures].[Count of ExamDate]" caption="Count of ExamDate" measure="1" displayFolder="" measureGroup="Table2" count="0" hidden="1">
      <extLst>
        <ext xmlns:x15="http://schemas.microsoft.com/office/spreadsheetml/2010/11/main" uri="{B97F6D7D-B522-45F9-BDA1-12C45D357490}">
          <x15:cacheHierarchy aggregatedColumn="6"/>
        </ext>
      </extLst>
    </cacheHierarchy>
    <cacheHierarchy uniqueName="[Measures].[Count of Average student grades]" caption="Count of Average student grades" measure="1" displayFolder="" measureGroup="Table2" count="0" hidden="1">
      <extLst>
        <ext xmlns:x15="http://schemas.microsoft.com/office/spreadsheetml/2010/11/main" uri="{B97F6D7D-B522-45F9-BDA1-12C45D357490}">
          <x15:cacheHierarchy aggregatedColumn="14"/>
        </ext>
      </extLst>
    </cacheHierarchy>
    <cacheHierarchy uniqueName="[Measures].[Count of Name]" caption="Count of Name" measure="1" displayFolder="" measureGroup="Table2" count="0" hidden="1">
      <extLst>
        <ext xmlns:x15="http://schemas.microsoft.com/office/spreadsheetml/2010/11/main" uri="{B97F6D7D-B522-45F9-BDA1-12C45D357490}">
          <x15:cacheHierarchy aggregatedColumn="1"/>
        </ext>
      </extLst>
    </cacheHierarchy>
    <cacheHierarchy uniqueName="[Measures].[Sum of StudentID]" caption="Sum of Student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ity]" caption="Count of City"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934.407417592593" backgroundQuery="1" createdVersion="7" refreshedVersion="7" minRefreshableVersion="3" recordCount="0" supportSubquery="1" supportAdvancedDrill="1" xr:uid="{98A60D96-D035-4390-954F-953C95B4E052}">
  <cacheSource type="external" connectionId="1"/>
  <cacheFields count="3">
    <cacheField name="[Table2].[Subject].[Subject]" caption="Subject" numFmtId="0" hierarchy="5" level="1">
      <sharedItems count="16">
        <s v="Accounting"/>
        <s v="AI"/>
        <s v="Data Structure"/>
        <s v="Design"/>
        <s v="Economics"/>
        <s v="Electronics"/>
        <s v="Finance"/>
        <s v="History"/>
        <s v="Linguistics"/>
        <s v="Literature"/>
        <s v="Marketing"/>
        <s v="Math"/>
        <s v="Mechanics"/>
        <s v="Philosophy"/>
        <s v="Physics"/>
        <s v="Programming"/>
      </sharedItems>
    </cacheField>
    <cacheField name="[Measures].[Count of Attendance%]" caption="Count of Attendance%" numFmtId="0" hierarchy="21" level="32767"/>
    <cacheField name="[Table2].[Score].[Score]" caption="Score" numFmtId="0" hierarchy="7" level="1">
      <sharedItems containsSemiMixedTypes="0" containsNonDate="0" containsString="0"/>
    </cacheField>
  </cacheFields>
  <cacheHierarchies count="28">
    <cacheHierarchy uniqueName="[Table2].[StudentID]" caption="StudentID" attribute="1" defaultMemberUniqueName="[Table2].[StudentID].[All]" allUniqueName="[Table2].[StudentID].[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Subject]" caption="Subject" attribute="1" defaultMemberUniqueName="[Table2].[Subject].[All]" allUniqueName="[Table2].[Subject].[All]" dimensionUniqueName="[Table2]" displayFolder="" count="2" memberValueDatatype="130" unbalanced="0">
      <fieldsUsage count="2">
        <fieldUsage x="-1"/>
        <fieldUsage x="0"/>
      </fieldsUsage>
    </cacheHierarchy>
    <cacheHierarchy uniqueName="[Table2].[ExamDate]" caption="ExamDate" attribute="1" defaultMemberUniqueName="[Table2].[ExamDate].[All]" allUniqueName="[Table2].[ExamDate].[All]" dimensionUniqueName="[Table2]" displayFolder="" count="0" memberValueDatatype="130" unbalanced="0"/>
    <cacheHierarchy uniqueName="[Table2].[Score]" caption="Score" attribute="1" defaultMemberUniqueName="[Table2].[Score].[All]" allUniqueName="[Table2].[Score].[All]" dimensionUniqueName="[Table2]" displayFolder="" count="2" memberValueDatatype="20" unbalanced="0">
      <fieldsUsage count="2">
        <fieldUsage x="-1"/>
        <fieldUsage x="2"/>
      </fieldsUsage>
    </cacheHierarchy>
    <cacheHierarchy uniqueName="[Table2].[Attendance%]" caption="Attendance%" attribute="1" defaultMemberUniqueName="[Table2].[Attendance%].[All]" allUniqueName="[Table2].[Attendance%].[All]" dimensionUniqueName="[Table2]" displayFolder="" count="2" memberValueDatatype="130" unbalanced="0"/>
    <cacheHierarchy uniqueName="[Table2].[Grade]" caption="Grade" attribute="1" defaultMemberUniqueName="[Table2].[Grade].[All]" allUniqueName="[Table2].[Grade].[All]" dimensionUniqueName="[Table2]" displayFolder="" count="0" memberValueDatatype="130" unbalanced="0"/>
    <cacheHierarchy uniqueName="[Table2].[Semester]" caption="Semester" attribute="1" defaultMemberUniqueName="[Table2].[Semester].[All]" allUniqueName="[Table2].[Semester].[All]" dimensionUniqueName="[Table2]" displayFolder="" count="0" memberValueDatatype="20" unbalanced="0"/>
    <cacheHierarchy uniqueName="[Table2].[City]" caption="City" attribute="1" defaultMemberUniqueName="[Table2].[City].[All]" allUniqueName="[Table2].[City].[All]" dimensionUniqueName="[Table2]" displayFolder="" count="2" memberValueDatatype="130" unbalanced="0"/>
    <cacheHierarchy uniqueName="[Table2].[Percentage]" caption="Percentage" attribute="1" defaultMemberUniqueName="[Table2].[Percentage].[All]" allUniqueName="[Table2].[Percentage].[All]" dimensionUniqueName="[Table2]" displayFolder="" count="0" memberValueDatatype="5" unbalanced="0"/>
    <cacheHierarchy uniqueName="[Table2].[Pass/Fail]" caption="Pass/Fail" attribute="1" defaultMemberUniqueName="[Table2].[Pass/Fail].[All]" allUniqueName="[Table2].[Pass/Fail].[All]" dimensionUniqueName="[Table2]" displayFolder="" count="0" memberValueDatatype="130" unbalanced="0"/>
    <cacheHierarchy uniqueName="[Table2].[Average student grades]" caption="Average student grades" attribute="1" defaultMemberUniqueName="[Table2].[Average student grades].[All]" allUniqueName="[Table2].[Average student grades].[All]" dimensionUniqueName="[Table2]" displayFolder="" count="0" memberValueDatatype="130" unbalanced="0"/>
    <cacheHierarchy uniqueName="[Table2].[Number of successful students]" caption="Number of successful students" attribute="1" defaultMemberUniqueName="[Table2].[Number of successful students].[All]" allUniqueName="[Table2].[Number of successful students].[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ss/Fail]" caption="Count of Pass/Fail" measure="1" displayFolder="" measureGroup="Table2" count="0" hidden="1">
      <extLst>
        <ext xmlns:x15="http://schemas.microsoft.com/office/spreadsheetml/2010/11/main" uri="{B97F6D7D-B522-45F9-BDA1-12C45D357490}">
          <x15:cacheHierarchy aggregatedColumn="13"/>
        </ext>
      </extLst>
    </cacheHierarchy>
    <cacheHierarchy uniqueName="[Measures].[Sum of Score]" caption="Sum of Score" measure="1" displayFolder="" measureGroup="Table2" count="0" hidden="1">
      <extLst>
        <ext xmlns:x15="http://schemas.microsoft.com/office/spreadsheetml/2010/11/main" uri="{B97F6D7D-B522-45F9-BDA1-12C45D357490}">
          <x15:cacheHierarchy aggregatedColumn="7"/>
        </ext>
      </extLst>
    </cacheHierarchy>
    <cacheHierarchy uniqueName="[Measures].[Count of Grade]" caption="Count of Grade" measure="1" displayFolder="" measureGroup="Table2" count="0" hidden="1">
      <extLst>
        <ext xmlns:x15="http://schemas.microsoft.com/office/spreadsheetml/2010/11/main" uri="{B97F6D7D-B522-45F9-BDA1-12C45D357490}">
          <x15:cacheHierarchy aggregatedColumn="9"/>
        </ext>
      </extLst>
    </cacheHierarchy>
    <cacheHierarchy uniqueName="[Measures].[Count of Attendance%]" caption="Count of Attendance%"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Max of Score]" caption="Max of Score" measure="1" displayFolder="" measureGroup="Table2" count="0" hidden="1">
      <extLst>
        <ext xmlns:x15="http://schemas.microsoft.com/office/spreadsheetml/2010/11/main" uri="{B97F6D7D-B522-45F9-BDA1-12C45D357490}">
          <x15:cacheHierarchy aggregatedColumn="7"/>
        </ext>
      </extLst>
    </cacheHierarchy>
    <cacheHierarchy uniqueName="[Measures].[Count of ExamDate]" caption="Count of ExamDate" measure="1" displayFolder="" measureGroup="Table2" count="0" hidden="1">
      <extLst>
        <ext xmlns:x15="http://schemas.microsoft.com/office/spreadsheetml/2010/11/main" uri="{B97F6D7D-B522-45F9-BDA1-12C45D357490}">
          <x15:cacheHierarchy aggregatedColumn="6"/>
        </ext>
      </extLst>
    </cacheHierarchy>
    <cacheHierarchy uniqueName="[Measures].[Count of Average student grades]" caption="Count of Average student grades" measure="1" displayFolder="" measureGroup="Table2" count="0" hidden="1">
      <extLst>
        <ext xmlns:x15="http://schemas.microsoft.com/office/spreadsheetml/2010/11/main" uri="{B97F6D7D-B522-45F9-BDA1-12C45D357490}">
          <x15:cacheHierarchy aggregatedColumn="14"/>
        </ext>
      </extLst>
    </cacheHierarchy>
    <cacheHierarchy uniqueName="[Measures].[Count of Name]" caption="Count of Name" measure="1" displayFolder="" measureGroup="Table2" count="0" hidden="1">
      <extLst>
        <ext xmlns:x15="http://schemas.microsoft.com/office/spreadsheetml/2010/11/main" uri="{B97F6D7D-B522-45F9-BDA1-12C45D357490}">
          <x15:cacheHierarchy aggregatedColumn="1"/>
        </ext>
      </extLst>
    </cacheHierarchy>
    <cacheHierarchy uniqueName="[Measures].[Sum of StudentID]" caption="Sum of StudentID" measure="1" displayFolder="" measureGroup="Table2"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934.407418518516" backgroundQuery="1" createdVersion="7" refreshedVersion="7" minRefreshableVersion="3" recordCount="0" supportSubquery="1" supportAdvancedDrill="1" xr:uid="{CEA2B325-6996-43EA-8F05-4A29F018C558}">
  <cacheSource type="external" connectionId="1"/>
  <cacheFields count="3">
    <cacheField name="[Table2].[Attendance%].[Attendance%]" caption="Attendance%" numFmtId="0" hierarchy="8" level="1">
      <sharedItems count="31">
        <s v="100%"/>
        <s v="70%"/>
        <s v="71%"/>
        <s v="72%"/>
        <s v="73%"/>
        <s v="74%"/>
        <s v="75%"/>
        <s v="76%"/>
        <s v="77%"/>
        <s v="78%"/>
        <s v="79%"/>
        <s v="80%"/>
        <s v="81%"/>
        <s v="82%"/>
        <s v="83%"/>
        <s v="84%"/>
        <s v="85%"/>
        <s v="86%"/>
        <s v="87%"/>
        <s v="88%"/>
        <s v="89%"/>
        <s v="90%"/>
        <s v="91%"/>
        <s v="92%"/>
        <s v="93%"/>
        <s v="94%"/>
        <s v="95%"/>
        <s v="96%"/>
        <s v="97%"/>
        <s v="98%"/>
        <s v="99%"/>
      </sharedItems>
    </cacheField>
    <cacheField name="[Measures].[Count of Attendance%]" caption="Count of Attendance%" numFmtId="0" hierarchy="21" level="32767"/>
    <cacheField name="[Table2].[Score].[Score]" caption="Score" numFmtId="0" hierarchy="7" level="1">
      <sharedItems containsSemiMixedTypes="0" containsNonDate="0" containsString="0"/>
    </cacheField>
  </cacheFields>
  <cacheHierarchies count="28">
    <cacheHierarchy uniqueName="[Table2].[StudentID]" caption="StudentID" attribute="1" defaultMemberUniqueName="[Table2].[StudentID].[All]" allUniqueName="[Table2].[StudentID].[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Subject]" caption="Subject" attribute="1" defaultMemberUniqueName="[Table2].[Subject].[All]" allUniqueName="[Table2].[Subject].[All]" dimensionUniqueName="[Table2]" displayFolder="" count="2" memberValueDatatype="130" unbalanced="0"/>
    <cacheHierarchy uniqueName="[Table2].[ExamDate]" caption="ExamDate" attribute="1" defaultMemberUniqueName="[Table2].[ExamDate].[All]" allUniqueName="[Table2].[ExamDate].[All]" dimensionUniqueName="[Table2]" displayFolder="" count="0" memberValueDatatype="130" unbalanced="0"/>
    <cacheHierarchy uniqueName="[Table2].[Score]" caption="Score" attribute="1" defaultMemberUniqueName="[Table2].[Score].[All]" allUniqueName="[Table2].[Score].[All]" dimensionUniqueName="[Table2]" displayFolder="" count="2" memberValueDatatype="20" unbalanced="0">
      <fieldsUsage count="2">
        <fieldUsage x="-1"/>
        <fieldUsage x="2"/>
      </fieldsUsage>
    </cacheHierarchy>
    <cacheHierarchy uniqueName="[Table2].[Attendance%]" caption="Attendance%" attribute="1" defaultMemberUniqueName="[Table2].[Attendance%].[All]" allUniqueName="[Table2].[Attendance%].[All]" dimensionUniqueName="[Table2]" displayFolder="" count="2" memberValueDatatype="130" unbalanced="0">
      <fieldsUsage count="2">
        <fieldUsage x="-1"/>
        <fieldUsage x="0"/>
      </fieldsUsage>
    </cacheHierarchy>
    <cacheHierarchy uniqueName="[Table2].[Grade]" caption="Grade" attribute="1" defaultMemberUniqueName="[Table2].[Grade].[All]" allUniqueName="[Table2].[Grade].[All]" dimensionUniqueName="[Table2]" displayFolder="" count="0" memberValueDatatype="130" unbalanced="0"/>
    <cacheHierarchy uniqueName="[Table2].[Semester]" caption="Semester" attribute="1" defaultMemberUniqueName="[Table2].[Semester].[All]" allUniqueName="[Table2].[Semester].[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2].[Percentage]" caption="Percentage" attribute="1" defaultMemberUniqueName="[Table2].[Percentage].[All]" allUniqueName="[Table2].[Percentage].[All]" dimensionUniqueName="[Table2]" displayFolder="" count="0" memberValueDatatype="5" unbalanced="0"/>
    <cacheHierarchy uniqueName="[Table2].[Pass/Fail]" caption="Pass/Fail" attribute="1" defaultMemberUniqueName="[Table2].[Pass/Fail].[All]" allUniqueName="[Table2].[Pass/Fail].[All]" dimensionUniqueName="[Table2]" displayFolder="" count="0" memberValueDatatype="130" unbalanced="0"/>
    <cacheHierarchy uniqueName="[Table2].[Average student grades]" caption="Average student grades" attribute="1" defaultMemberUniqueName="[Table2].[Average student grades].[All]" allUniqueName="[Table2].[Average student grades].[All]" dimensionUniqueName="[Table2]" displayFolder="" count="0" memberValueDatatype="130" unbalanced="0"/>
    <cacheHierarchy uniqueName="[Table2].[Number of successful students]" caption="Number of successful students" attribute="1" defaultMemberUniqueName="[Table2].[Number of successful students].[All]" allUniqueName="[Table2].[Number of successful students].[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ss/Fail]" caption="Count of Pass/Fail" measure="1" displayFolder="" measureGroup="Table2" count="0" hidden="1">
      <extLst>
        <ext xmlns:x15="http://schemas.microsoft.com/office/spreadsheetml/2010/11/main" uri="{B97F6D7D-B522-45F9-BDA1-12C45D357490}">
          <x15:cacheHierarchy aggregatedColumn="13"/>
        </ext>
      </extLst>
    </cacheHierarchy>
    <cacheHierarchy uniqueName="[Measures].[Sum of Score]" caption="Sum of Score" measure="1" displayFolder="" measureGroup="Table2" count="0" hidden="1">
      <extLst>
        <ext xmlns:x15="http://schemas.microsoft.com/office/spreadsheetml/2010/11/main" uri="{B97F6D7D-B522-45F9-BDA1-12C45D357490}">
          <x15:cacheHierarchy aggregatedColumn="7"/>
        </ext>
      </extLst>
    </cacheHierarchy>
    <cacheHierarchy uniqueName="[Measures].[Count of Grade]" caption="Count of Grade" measure="1" displayFolder="" measureGroup="Table2" count="0" hidden="1">
      <extLst>
        <ext xmlns:x15="http://schemas.microsoft.com/office/spreadsheetml/2010/11/main" uri="{B97F6D7D-B522-45F9-BDA1-12C45D357490}">
          <x15:cacheHierarchy aggregatedColumn="9"/>
        </ext>
      </extLst>
    </cacheHierarchy>
    <cacheHierarchy uniqueName="[Measures].[Count of Attendance%]" caption="Count of Attendance%"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Max of Score]" caption="Max of Score" measure="1" displayFolder="" measureGroup="Table2" count="0" hidden="1">
      <extLst>
        <ext xmlns:x15="http://schemas.microsoft.com/office/spreadsheetml/2010/11/main" uri="{B97F6D7D-B522-45F9-BDA1-12C45D357490}">
          <x15:cacheHierarchy aggregatedColumn="7"/>
        </ext>
      </extLst>
    </cacheHierarchy>
    <cacheHierarchy uniqueName="[Measures].[Count of ExamDate]" caption="Count of ExamDate" measure="1" displayFolder="" measureGroup="Table2" count="0" hidden="1">
      <extLst>
        <ext xmlns:x15="http://schemas.microsoft.com/office/spreadsheetml/2010/11/main" uri="{B97F6D7D-B522-45F9-BDA1-12C45D357490}">
          <x15:cacheHierarchy aggregatedColumn="6"/>
        </ext>
      </extLst>
    </cacheHierarchy>
    <cacheHierarchy uniqueName="[Measures].[Count of Average student grades]" caption="Count of Average student grades" measure="1" displayFolder="" measureGroup="Table2" count="0" hidden="1">
      <extLst>
        <ext xmlns:x15="http://schemas.microsoft.com/office/spreadsheetml/2010/11/main" uri="{B97F6D7D-B522-45F9-BDA1-12C45D357490}">
          <x15:cacheHierarchy aggregatedColumn="14"/>
        </ext>
      </extLst>
    </cacheHierarchy>
    <cacheHierarchy uniqueName="[Measures].[Count of Name]" caption="Count of Name" measure="1" displayFolder="" measureGroup="Table2" count="0" hidden="1">
      <extLst>
        <ext xmlns:x15="http://schemas.microsoft.com/office/spreadsheetml/2010/11/main" uri="{B97F6D7D-B522-45F9-BDA1-12C45D357490}">
          <x15:cacheHierarchy aggregatedColumn="1"/>
        </ext>
      </extLst>
    </cacheHierarchy>
    <cacheHierarchy uniqueName="[Measures].[Sum of StudentID]" caption="Sum of StudentID" measure="1" displayFolder="" measureGroup="Table2"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934.407419560186" backgroundQuery="1" createdVersion="7" refreshedVersion="7" minRefreshableVersion="3" recordCount="0" supportSubquery="1" supportAdvancedDrill="1" xr:uid="{95528C27-8219-4006-B296-A4784C4A813D}">
  <cacheSource type="external" connectionId="1"/>
  <cacheFields count="3">
    <cacheField name="[Table2].[Subject].[Subject]" caption="Subject" numFmtId="0" hierarchy="5" level="1">
      <sharedItems count="16">
        <s v="Accounting"/>
        <s v="AI"/>
        <s v="Data Structure"/>
        <s v="Design"/>
        <s v="Economics"/>
        <s v="Electronics"/>
        <s v="Finance"/>
        <s v="History"/>
        <s v="Linguistics"/>
        <s v="Literature"/>
        <s v="Marketing"/>
        <s v="Math"/>
        <s v="Mechanics"/>
        <s v="Philosophy"/>
        <s v="Physics"/>
        <s v="Programming"/>
      </sharedItems>
    </cacheField>
    <cacheField name="[Measures].[Sum of Score]" caption="Sum of Score" numFmtId="0" hierarchy="19" level="32767"/>
    <cacheField name="[Table2].[Score].[Score]" caption="Score" numFmtId="0" hierarchy="7" level="1">
      <sharedItems containsSemiMixedTypes="0" containsNonDate="0" containsString="0"/>
    </cacheField>
  </cacheFields>
  <cacheHierarchies count="28">
    <cacheHierarchy uniqueName="[Table2].[StudentID]" caption="StudentID" attribute="1" defaultMemberUniqueName="[Table2].[StudentID].[All]" allUniqueName="[Table2].[StudentID].[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Subject]" caption="Subject" attribute="1" defaultMemberUniqueName="[Table2].[Subject].[All]" allUniqueName="[Table2].[Subject].[All]" dimensionUniqueName="[Table2]" displayFolder="" count="2" memberValueDatatype="130" unbalanced="0">
      <fieldsUsage count="2">
        <fieldUsage x="-1"/>
        <fieldUsage x="0"/>
      </fieldsUsage>
    </cacheHierarchy>
    <cacheHierarchy uniqueName="[Table2].[ExamDate]" caption="ExamDate" attribute="1" defaultMemberUniqueName="[Table2].[ExamDate].[All]" allUniqueName="[Table2].[ExamDate].[All]" dimensionUniqueName="[Table2]" displayFolder="" count="0" memberValueDatatype="130" unbalanced="0"/>
    <cacheHierarchy uniqueName="[Table2].[Score]" caption="Score" attribute="1" defaultMemberUniqueName="[Table2].[Score].[All]" allUniqueName="[Table2].[Score].[All]" dimensionUniqueName="[Table2]" displayFolder="" count="2" memberValueDatatype="20" unbalanced="0">
      <fieldsUsage count="2">
        <fieldUsage x="-1"/>
        <fieldUsage x="2"/>
      </fieldsUsage>
    </cacheHierarchy>
    <cacheHierarchy uniqueName="[Table2].[Attendance%]" caption="Attendance%" attribute="1" defaultMemberUniqueName="[Table2].[Attendance%].[All]" allUniqueName="[Table2].[Attendance%].[All]" dimensionUniqueName="[Table2]" displayFolder="" count="2" memberValueDatatype="130" unbalanced="0"/>
    <cacheHierarchy uniqueName="[Table2].[Grade]" caption="Grade" attribute="1" defaultMemberUniqueName="[Table2].[Grade].[All]" allUniqueName="[Table2].[Grade].[All]" dimensionUniqueName="[Table2]" displayFolder="" count="0" memberValueDatatype="130" unbalanced="0"/>
    <cacheHierarchy uniqueName="[Table2].[Semester]" caption="Semester" attribute="1" defaultMemberUniqueName="[Table2].[Semester].[All]" allUniqueName="[Table2].[Semester].[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2].[Percentage]" caption="Percentage" attribute="1" defaultMemberUniqueName="[Table2].[Percentage].[All]" allUniqueName="[Table2].[Percentage].[All]" dimensionUniqueName="[Table2]" displayFolder="" count="0" memberValueDatatype="5" unbalanced="0"/>
    <cacheHierarchy uniqueName="[Table2].[Pass/Fail]" caption="Pass/Fail" attribute="1" defaultMemberUniqueName="[Table2].[Pass/Fail].[All]" allUniqueName="[Table2].[Pass/Fail].[All]" dimensionUniqueName="[Table2]" displayFolder="" count="0" memberValueDatatype="130" unbalanced="0"/>
    <cacheHierarchy uniqueName="[Table2].[Average student grades]" caption="Average student grades" attribute="1" defaultMemberUniqueName="[Table2].[Average student grades].[All]" allUniqueName="[Table2].[Average student grades].[All]" dimensionUniqueName="[Table2]" displayFolder="" count="0" memberValueDatatype="130" unbalanced="0"/>
    <cacheHierarchy uniqueName="[Table2].[Number of successful students]" caption="Number of successful students" attribute="1" defaultMemberUniqueName="[Table2].[Number of successful students].[All]" allUniqueName="[Table2].[Number of successful students].[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ss/Fail]" caption="Count of Pass/Fail" measure="1" displayFolder="" measureGroup="Table2" count="0" hidden="1">
      <extLst>
        <ext xmlns:x15="http://schemas.microsoft.com/office/spreadsheetml/2010/11/main" uri="{B97F6D7D-B522-45F9-BDA1-12C45D357490}">
          <x15:cacheHierarchy aggregatedColumn="13"/>
        </ext>
      </extLst>
    </cacheHierarchy>
    <cacheHierarchy uniqueName="[Measures].[Sum of Score]" caption="Sum of Score"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rade]" caption="Count of Grade" measure="1" displayFolder="" measureGroup="Table2" count="0" hidden="1">
      <extLst>
        <ext xmlns:x15="http://schemas.microsoft.com/office/spreadsheetml/2010/11/main" uri="{B97F6D7D-B522-45F9-BDA1-12C45D357490}">
          <x15:cacheHierarchy aggregatedColumn="9"/>
        </ext>
      </extLst>
    </cacheHierarchy>
    <cacheHierarchy uniqueName="[Measures].[Count of Attendance%]" caption="Count of Attendance%" measure="1" displayFolder="" measureGroup="Table2" count="0" hidden="1">
      <extLst>
        <ext xmlns:x15="http://schemas.microsoft.com/office/spreadsheetml/2010/11/main" uri="{B97F6D7D-B522-45F9-BDA1-12C45D357490}">
          <x15:cacheHierarchy aggregatedColumn="8"/>
        </ext>
      </extLst>
    </cacheHierarchy>
    <cacheHierarchy uniqueName="[Measures].[Max of Score]" caption="Max of Score" measure="1" displayFolder="" measureGroup="Table2" count="0" hidden="1">
      <extLst>
        <ext xmlns:x15="http://schemas.microsoft.com/office/spreadsheetml/2010/11/main" uri="{B97F6D7D-B522-45F9-BDA1-12C45D357490}">
          <x15:cacheHierarchy aggregatedColumn="7"/>
        </ext>
      </extLst>
    </cacheHierarchy>
    <cacheHierarchy uniqueName="[Measures].[Count of ExamDate]" caption="Count of ExamDate" measure="1" displayFolder="" measureGroup="Table2" count="0" hidden="1">
      <extLst>
        <ext xmlns:x15="http://schemas.microsoft.com/office/spreadsheetml/2010/11/main" uri="{B97F6D7D-B522-45F9-BDA1-12C45D357490}">
          <x15:cacheHierarchy aggregatedColumn="6"/>
        </ext>
      </extLst>
    </cacheHierarchy>
    <cacheHierarchy uniqueName="[Measures].[Count of Average student grades]" caption="Count of Average student grades" measure="1" displayFolder="" measureGroup="Table2" count="0" hidden="1">
      <extLst>
        <ext xmlns:x15="http://schemas.microsoft.com/office/spreadsheetml/2010/11/main" uri="{B97F6D7D-B522-45F9-BDA1-12C45D357490}">
          <x15:cacheHierarchy aggregatedColumn="14"/>
        </ext>
      </extLst>
    </cacheHierarchy>
    <cacheHierarchy uniqueName="[Measures].[Count of Name]" caption="Count of Name" measure="1" displayFolder="" measureGroup="Table2" count="0" hidden="1">
      <extLst>
        <ext xmlns:x15="http://schemas.microsoft.com/office/spreadsheetml/2010/11/main" uri="{B97F6D7D-B522-45F9-BDA1-12C45D357490}">
          <x15:cacheHierarchy aggregatedColumn="1"/>
        </ext>
      </extLst>
    </cacheHierarchy>
    <cacheHierarchy uniqueName="[Measures].[Sum of StudentID]" caption="Sum of StudentID" measure="1" displayFolder="" measureGroup="Table2"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934.40742048611" backgroundQuery="1" createdVersion="7" refreshedVersion="7" minRefreshableVersion="3" recordCount="0" supportSubquery="1" supportAdvancedDrill="1" xr:uid="{75EB5D7A-4594-4BF6-ADC2-9A99C6F2FDF8}">
  <cacheSource type="external" connectionId="1"/>
  <cacheFields count="3">
    <cacheField name="[Table2].[Grade].[Grade]" caption="Grade" numFmtId="0" hierarchy="9" level="1">
      <sharedItems count="5">
        <s v="A"/>
        <s v="B"/>
        <s v="C"/>
        <s v="D"/>
        <s v="F"/>
      </sharedItems>
    </cacheField>
    <cacheField name="[Measures].[Count of Grade]" caption="Count of Grade" numFmtId="0" hierarchy="20" level="32767"/>
    <cacheField name="[Table2].[Score].[Score]" caption="Score" numFmtId="0" hierarchy="7" level="1">
      <sharedItems containsSemiMixedTypes="0" containsNonDate="0" containsString="0"/>
    </cacheField>
  </cacheFields>
  <cacheHierarchies count="28">
    <cacheHierarchy uniqueName="[Table2].[StudentID]" caption="StudentID" attribute="1" defaultMemberUniqueName="[Table2].[StudentID].[All]" allUniqueName="[Table2].[StudentID].[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Subject]" caption="Subject" attribute="1" defaultMemberUniqueName="[Table2].[Subject].[All]" allUniqueName="[Table2].[Subject].[All]" dimensionUniqueName="[Table2]" displayFolder="" count="2" memberValueDatatype="130" unbalanced="0"/>
    <cacheHierarchy uniqueName="[Table2].[ExamDate]" caption="ExamDate" attribute="1" defaultMemberUniqueName="[Table2].[ExamDate].[All]" allUniqueName="[Table2].[ExamDate].[All]" dimensionUniqueName="[Table2]" displayFolder="" count="0" memberValueDatatype="130" unbalanced="0"/>
    <cacheHierarchy uniqueName="[Table2].[Score]" caption="Score" attribute="1" defaultMemberUniqueName="[Table2].[Score].[All]" allUniqueName="[Table2].[Score].[All]" dimensionUniqueName="[Table2]" displayFolder="" count="2" memberValueDatatype="20" unbalanced="0">
      <fieldsUsage count="2">
        <fieldUsage x="-1"/>
        <fieldUsage x="2"/>
      </fieldsUsage>
    </cacheHierarchy>
    <cacheHierarchy uniqueName="[Table2].[Attendance%]" caption="Attendance%" attribute="1" defaultMemberUniqueName="[Table2].[Attendance%].[All]" allUniqueName="[Table2].[Attendance%].[All]" dimensionUniqueName="[Table2]" displayFolder="" count="2" memberValueDatatype="130" unbalanced="0"/>
    <cacheHierarchy uniqueName="[Table2].[Grade]" caption="Grade" attribute="1" defaultMemberUniqueName="[Table2].[Grade].[All]" allUniqueName="[Table2].[Grade].[All]" dimensionUniqueName="[Table2]" displayFolder="" count="2" memberValueDatatype="130" unbalanced="0">
      <fieldsUsage count="2">
        <fieldUsage x="-1"/>
        <fieldUsage x="0"/>
      </fieldsUsage>
    </cacheHierarchy>
    <cacheHierarchy uniqueName="[Table2].[Semester]" caption="Semester" attribute="1" defaultMemberUniqueName="[Table2].[Semester].[All]" allUniqueName="[Table2].[Semester].[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2].[Percentage]" caption="Percentage" attribute="1" defaultMemberUniqueName="[Table2].[Percentage].[All]" allUniqueName="[Table2].[Percentage].[All]" dimensionUniqueName="[Table2]" displayFolder="" count="0" memberValueDatatype="5" unbalanced="0"/>
    <cacheHierarchy uniqueName="[Table2].[Pass/Fail]" caption="Pass/Fail" attribute="1" defaultMemberUniqueName="[Table2].[Pass/Fail].[All]" allUniqueName="[Table2].[Pass/Fail].[All]" dimensionUniqueName="[Table2]" displayFolder="" count="0" memberValueDatatype="130" unbalanced="0"/>
    <cacheHierarchy uniqueName="[Table2].[Average student grades]" caption="Average student grades" attribute="1" defaultMemberUniqueName="[Table2].[Average student grades].[All]" allUniqueName="[Table2].[Average student grades].[All]" dimensionUniqueName="[Table2]" displayFolder="" count="0" memberValueDatatype="130" unbalanced="0"/>
    <cacheHierarchy uniqueName="[Table2].[Number of successful students]" caption="Number of successful students" attribute="1" defaultMemberUniqueName="[Table2].[Number of successful students].[All]" allUniqueName="[Table2].[Number of successful students].[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ss/Fail]" caption="Count of Pass/Fail" measure="1" displayFolder="" measureGroup="Table2" count="0" hidden="1">
      <extLst>
        <ext xmlns:x15="http://schemas.microsoft.com/office/spreadsheetml/2010/11/main" uri="{B97F6D7D-B522-45F9-BDA1-12C45D357490}">
          <x15:cacheHierarchy aggregatedColumn="13"/>
        </ext>
      </extLst>
    </cacheHierarchy>
    <cacheHierarchy uniqueName="[Measures].[Sum of Score]" caption="Sum of Score" measure="1" displayFolder="" measureGroup="Table2" count="0" hidden="1">
      <extLst>
        <ext xmlns:x15="http://schemas.microsoft.com/office/spreadsheetml/2010/11/main" uri="{B97F6D7D-B522-45F9-BDA1-12C45D357490}">
          <x15:cacheHierarchy aggregatedColumn="7"/>
        </ext>
      </extLst>
    </cacheHierarchy>
    <cacheHierarchy uniqueName="[Measures].[Count of Grade]" caption="Count of Grade"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Attendance%]" caption="Count of Attendance%" measure="1" displayFolder="" measureGroup="Table2" count="0" hidden="1">
      <extLst>
        <ext xmlns:x15="http://schemas.microsoft.com/office/spreadsheetml/2010/11/main" uri="{B97F6D7D-B522-45F9-BDA1-12C45D357490}">
          <x15:cacheHierarchy aggregatedColumn="8"/>
        </ext>
      </extLst>
    </cacheHierarchy>
    <cacheHierarchy uniqueName="[Measures].[Max of Score]" caption="Max of Score" measure="1" displayFolder="" measureGroup="Table2" count="0" hidden="1">
      <extLst>
        <ext xmlns:x15="http://schemas.microsoft.com/office/spreadsheetml/2010/11/main" uri="{B97F6D7D-B522-45F9-BDA1-12C45D357490}">
          <x15:cacheHierarchy aggregatedColumn="7"/>
        </ext>
      </extLst>
    </cacheHierarchy>
    <cacheHierarchy uniqueName="[Measures].[Count of ExamDate]" caption="Count of ExamDate" measure="1" displayFolder="" measureGroup="Table2" count="0" hidden="1">
      <extLst>
        <ext xmlns:x15="http://schemas.microsoft.com/office/spreadsheetml/2010/11/main" uri="{B97F6D7D-B522-45F9-BDA1-12C45D357490}">
          <x15:cacheHierarchy aggregatedColumn="6"/>
        </ext>
      </extLst>
    </cacheHierarchy>
    <cacheHierarchy uniqueName="[Measures].[Count of Average student grades]" caption="Count of Average student grades" measure="1" displayFolder="" measureGroup="Table2" count="0" hidden="1">
      <extLst>
        <ext xmlns:x15="http://schemas.microsoft.com/office/spreadsheetml/2010/11/main" uri="{B97F6D7D-B522-45F9-BDA1-12C45D357490}">
          <x15:cacheHierarchy aggregatedColumn="14"/>
        </ext>
      </extLst>
    </cacheHierarchy>
    <cacheHierarchy uniqueName="[Measures].[Count of Name]" caption="Count of Name" measure="1" displayFolder="" measureGroup="Table2" count="0" hidden="1">
      <extLst>
        <ext xmlns:x15="http://schemas.microsoft.com/office/spreadsheetml/2010/11/main" uri="{B97F6D7D-B522-45F9-BDA1-12C45D357490}">
          <x15:cacheHierarchy aggregatedColumn="1"/>
        </ext>
      </extLst>
    </cacheHierarchy>
    <cacheHierarchy uniqueName="[Measures].[Sum of StudentID]" caption="Sum of StudentID" measure="1" displayFolder="" measureGroup="Table2"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934.407421412034" backgroundQuery="1" createdVersion="7" refreshedVersion="7" minRefreshableVersion="3" recordCount="0" supportSubquery="1" supportAdvancedDrill="1" xr:uid="{3A81BD1B-FD0E-4750-8C3F-B39EA6CEAB1C}">
  <cacheSource type="external" connectionId="1"/>
  <cacheFields count="3">
    <cacheField name="[Table2].[Pass/Fail].[Pass/Fail]" caption="Pass/Fail" numFmtId="0" hierarchy="13" level="1">
      <sharedItems count="2">
        <s v="fail"/>
        <s v="pass"/>
      </sharedItems>
    </cacheField>
    <cacheField name="[Measures].[Count of Pass/Fail]" caption="Count of Pass/Fail" numFmtId="0" hierarchy="18" level="32767"/>
    <cacheField name="[Table2].[Score].[Score]" caption="Score" numFmtId="0" hierarchy="7" level="1">
      <sharedItems containsSemiMixedTypes="0" containsNonDate="0" containsString="0"/>
    </cacheField>
  </cacheFields>
  <cacheHierarchies count="28">
    <cacheHierarchy uniqueName="[Table2].[StudentID]" caption="StudentID" attribute="1" defaultMemberUniqueName="[Table2].[StudentID].[All]" allUniqueName="[Table2].[StudentID].[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Subject]" caption="Subject" attribute="1" defaultMemberUniqueName="[Table2].[Subject].[All]" allUniqueName="[Table2].[Subject].[All]" dimensionUniqueName="[Table2]" displayFolder="" count="2" memberValueDatatype="130" unbalanced="0"/>
    <cacheHierarchy uniqueName="[Table2].[ExamDate]" caption="ExamDate" attribute="1" defaultMemberUniqueName="[Table2].[ExamDate].[All]" allUniqueName="[Table2].[ExamDate].[All]" dimensionUniqueName="[Table2]" displayFolder="" count="0" memberValueDatatype="130" unbalanced="0"/>
    <cacheHierarchy uniqueName="[Table2].[Score]" caption="Score" attribute="1" defaultMemberUniqueName="[Table2].[Score].[All]" allUniqueName="[Table2].[Score].[All]" dimensionUniqueName="[Table2]" displayFolder="" count="2" memberValueDatatype="20" unbalanced="0">
      <fieldsUsage count="2">
        <fieldUsage x="-1"/>
        <fieldUsage x="2"/>
      </fieldsUsage>
    </cacheHierarchy>
    <cacheHierarchy uniqueName="[Table2].[Attendance%]" caption="Attendance%" attribute="1" defaultMemberUniqueName="[Table2].[Attendance%].[All]" allUniqueName="[Table2].[Attendance%].[All]" dimensionUniqueName="[Table2]" displayFolder="" count="2" memberValueDatatype="130" unbalanced="0"/>
    <cacheHierarchy uniqueName="[Table2].[Grade]" caption="Grade" attribute="1" defaultMemberUniqueName="[Table2].[Grade].[All]" allUniqueName="[Table2].[Grade].[All]" dimensionUniqueName="[Table2]" displayFolder="" count="0" memberValueDatatype="130" unbalanced="0"/>
    <cacheHierarchy uniqueName="[Table2].[Semester]" caption="Semester" attribute="1" defaultMemberUniqueName="[Table2].[Semester].[All]" allUniqueName="[Table2].[Semester].[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2].[Percentage]" caption="Percentage" attribute="1" defaultMemberUniqueName="[Table2].[Percentage].[All]" allUniqueName="[Table2].[Percentage].[All]" dimensionUniqueName="[Table2]" displayFolder="" count="0" memberValueDatatype="5" unbalanced="0"/>
    <cacheHierarchy uniqueName="[Table2].[Pass/Fail]" caption="Pass/Fail" attribute="1" defaultMemberUniqueName="[Table2].[Pass/Fail].[All]" allUniqueName="[Table2].[Pass/Fail].[All]" dimensionUniqueName="[Table2]" displayFolder="" count="2" memberValueDatatype="130" unbalanced="0">
      <fieldsUsage count="2">
        <fieldUsage x="-1"/>
        <fieldUsage x="0"/>
      </fieldsUsage>
    </cacheHierarchy>
    <cacheHierarchy uniqueName="[Table2].[Average student grades]" caption="Average student grades" attribute="1" defaultMemberUniqueName="[Table2].[Average student grades].[All]" allUniqueName="[Table2].[Average student grades].[All]" dimensionUniqueName="[Table2]" displayFolder="" count="0" memberValueDatatype="130" unbalanced="0"/>
    <cacheHierarchy uniqueName="[Table2].[Number of successful students]" caption="Number of successful students" attribute="1" defaultMemberUniqueName="[Table2].[Number of successful students].[All]" allUniqueName="[Table2].[Number of successful students].[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ss/Fail]" caption="Count of Pass/Fail" measure="1" displayFolder="" measureGroup="Table2"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Score]" caption="Sum of Score" measure="1" displayFolder="" measureGroup="Table2" count="0" hidden="1">
      <extLst>
        <ext xmlns:x15="http://schemas.microsoft.com/office/spreadsheetml/2010/11/main" uri="{B97F6D7D-B522-45F9-BDA1-12C45D357490}">
          <x15:cacheHierarchy aggregatedColumn="7"/>
        </ext>
      </extLst>
    </cacheHierarchy>
    <cacheHierarchy uniqueName="[Measures].[Count of Grade]" caption="Count of Grade" measure="1" displayFolder="" measureGroup="Table2" count="0" hidden="1">
      <extLst>
        <ext xmlns:x15="http://schemas.microsoft.com/office/spreadsheetml/2010/11/main" uri="{B97F6D7D-B522-45F9-BDA1-12C45D357490}">
          <x15:cacheHierarchy aggregatedColumn="9"/>
        </ext>
      </extLst>
    </cacheHierarchy>
    <cacheHierarchy uniqueName="[Measures].[Count of Attendance%]" caption="Count of Attendance%" measure="1" displayFolder="" measureGroup="Table2" count="0" hidden="1">
      <extLst>
        <ext xmlns:x15="http://schemas.microsoft.com/office/spreadsheetml/2010/11/main" uri="{B97F6D7D-B522-45F9-BDA1-12C45D357490}">
          <x15:cacheHierarchy aggregatedColumn="8"/>
        </ext>
      </extLst>
    </cacheHierarchy>
    <cacheHierarchy uniqueName="[Measures].[Max of Score]" caption="Max of Score" measure="1" displayFolder="" measureGroup="Table2" count="0" hidden="1">
      <extLst>
        <ext xmlns:x15="http://schemas.microsoft.com/office/spreadsheetml/2010/11/main" uri="{B97F6D7D-B522-45F9-BDA1-12C45D357490}">
          <x15:cacheHierarchy aggregatedColumn="7"/>
        </ext>
      </extLst>
    </cacheHierarchy>
    <cacheHierarchy uniqueName="[Measures].[Count of ExamDate]" caption="Count of ExamDate" measure="1" displayFolder="" measureGroup="Table2" count="0" hidden="1">
      <extLst>
        <ext xmlns:x15="http://schemas.microsoft.com/office/spreadsheetml/2010/11/main" uri="{B97F6D7D-B522-45F9-BDA1-12C45D357490}">
          <x15:cacheHierarchy aggregatedColumn="6"/>
        </ext>
      </extLst>
    </cacheHierarchy>
    <cacheHierarchy uniqueName="[Measures].[Count of Average student grades]" caption="Count of Average student grades" measure="1" displayFolder="" measureGroup="Table2" count="0" hidden="1">
      <extLst>
        <ext xmlns:x15="http://schemas.microsoft.com/office/spreadsheetml/2010/11/main" uri="{B97F6D7D-B522-45F9-BDA1-12C45D357490}">
          <x15:cacheHierarchy aggregatedColumn="14"/>
        </ext>
      </extLst>
    </cacheHierarchy>
    <cacheHierarchy uniqueName="[Measures].[Count of Name]" caption="Count of Name" measure="1" displayFolder="" measureGroup="Table2" count="0" hidden="1">
      <extLst>
        <ext xmlns:x15="http://schemas.microsoft.com/office/spreadsheetml/2010/11/main" uri="{B97F6D7D-B522-45F9-BDA1-12C45D357490}">
          <x15:cacheHierarchy aggregatedColumn="1"/>
        </ext>
      </extLst>
    </cacheHierarchy>
    <cacheHierarchy uniqueName="[Measures].[Sum of StudentID]" caption="Sum of StudentID" measure="1" displayFolder="" measureGroup="Table2"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934.407422337965" backgroundQuery="1" createdVersion="7" refreshedVersion="7" minRefreshableVersion="3" recordCount="0" supportSubquery="1" supportAdvancedDrill="1" xr:uid="{5FCDB7FC-E4A6-48F6-AD54-F17D360630ED}">
  <cacheSource type="external" connectionId="1"/>
  <cacheFields count="3">
    <cacheField name="[Table2].[Name].[Name]" caption="Name" numFmtId="0" hierarchy="1" level="1">
      <sharedItems count="10">
        <s v="Student_15"/>
        <s v="Student_17"/>
        <s v="Student_21"/>
        <s v="Student_33"/>
        <s v="Student_34"/>
        <s v="Student_36"/>
        <s v="Student_47"/>
        <s v="Student_63"/>
        <s v="Student_65"/>
        <s v="Student_85"/>
      </sharedItems>
    </cacheField>
    <cacheField name="[Measures].[Sum of Score]" caption="Sum of Score" numFmtId="0" hierarchy="19" level="32767"/>
    <cacheField name="[Table2].[Score].[Score]" caption="Score" numFmtId="0" hierarchy="7" level="1">
      <sharedItems containsSemiMixedTypes="0" containsNonDate="0" containsString="0"/>
    </cacheField>
  </cacheFields>
  <cacheHierarchies count="28">
    <cacheHierarchy uniqueName="[Table2].[StudentID]" caption="StudentID" attribute="1" defaultMemberUniqueName="[Table2].[StudentID].[All]" allUniqueName="[Table2].[StudentID].[All]" dimensionUniqueName="[Table2]" displayFolder="" count="0" memberValueDatatype="20" unbalanced="0"/>
    <cacheHierarchy uniqueName="[Table2].[Name]" caption="Name" attribute="1" defaultMemberUniqueName="[Table2].[Name].[All]" allUniqueName="[Table2].[Name].[All]" dimensionUniqueName="[Table2]" displayFolder="" count="2" memberValueDatatype="130" unbalanced="0">
      <fieldsUsage count="2">
        <fieldUsage x="-1"/>
        <fieldUsage x="0"/>
      </fieldsUsage>
    </cacheHierarchy>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Subject]" caption="Subject" attribute="1" defaultMemberUniqueName="[Table2].[Subject].[All]" allUniqueName="[Table2].[Subject].[All]" dimensionUniqueName="[Table2]" displayFolder="" count="2" memberValueDatatype="130" unbalanced="0"/>
    <cacheHierarchy uniqueName="[Table2].[ExamDate]" caption="ExamDate" attribute="1" defaultMemberUniqueName="[Table2].[ExamDate].[All]" allUniqueName="[Table2].[ExamDate].[All]" dimensionUniqueName="[Table2]" displayFolder="" count="0" memberValueDatatype="130" unbalanced="0"/>
    <cacheHierarchy uniqueName="[Table2].[Score]" caption="Score" attribute="1" defaultMemberUniqueName="[Table2].[Score].[All]" allUniqueName="[Table2].[Score].[All]" dimensionUniqueName="[Table2]" displayFolder="" count="2" memberValueDatatype="20" unbalanced="0">
      <fieldsUsage count="2">
        <fieldUsage x="-1"/>
        <fieldUsage x="2"/>
      </fieldsUsage>
    </cacheHierarchy>
    <cacheHierarchy uniqueName="[Table2].[Attendance%]" caption="Attendance%" attribute="1" defaultMemberUniqueName="[Table2].[Attendance%].[All]" allUniqueName="[Table2].[Attendance%].[All]" dimensionUniqueName="[Table2]" displayFolder="" count="2" memberValueDatatype="130" unbalanced="0"/>
    <cacheHierarchy uniqueName="[Table2].[Grade]" caption="Grade" attribute="1" defaultMemberUniqueName="[Table2].[Grade].[All]" allUniqueName="[Table2].[Grade].[All]" dimensionUniqueName="[Table2]" displayFolder="" count="0" memberValueDatatype="130" unbalanced="0"/>
    <cacheHierarchy uniqueName="[Table2].[Semester]" caption="Semester" attribute="1" defaultMemberUniqueName="[Table2].[Semester].[All]" allUniqueName="[Table2].[Semester].[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2].[Percentage]" caption="Percentage" attribute="1" defaultMemberUniqueName="[Table2].[Percentage].[All]" allUniqueName="[Table2].[Percentage].[All]" dimensionUniqueName="[Table2]" displayFolder="" count="0" memberValueDatatype="5" unbalanced="0"/>
    <cacheHierarchy uniqueName="[Table2].[Pass/Fail]" caption="Pass/Fail" attribute="1" defaultMemberUniqueName="[Table2].[Pass/Fail].[All]" allUniqueName="[Table2].[Pass/Fail].[All]" dimensionUniqueName="[Table2]" displayFolder="" count="0" memberValueDatatype="130" unbalanced="0"/>
    <cacheHierarchy uniqueName="[Table2].[Average student grades]" caption="Average student grades" attribute="1" defaultMemberUniqueName="[Table2].[Average student grades].[All]" allUniqueName="[Table2].[Average student grades].[All]" dimensionUniqueName="[Table2]" displayFolder="" count="0" memberValueDatatype="130" unbalanced="0"/>
    <cacheHierarchy uniqueName="[Table2].[Number of successful students]" caption="Number of successful students" attribute="1" defaultMemberUniqueName="[Table2].[Number of successful students].[All]" allUniqueName="[Table2].[Number of successful students].[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ss/Fail]" caption="Count of Pass/Fail" measure="1" displayFolder="" measureGroup="Table2" count="0" hidden="1">
      <extLst>
        <ext xmlns:x15="http://schemas.microsoft.com/office/spreadsheetml/2010/11/main" uri="{B97F6D7D-B522-45F9-BDA1-12C45D357490}">
          <x15:cacheHierarchy aggregatedColumn="13"/>
        </ext>
      </extLst>
    </cacheHierarchy>
    <cacheHierarchy uniqueName="[Measures].[Sum of Score]" caption="Sum of Score"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rade]" caption="Count of Grade" measure="1" displayFolder="" measureGroup="Table2" count="0" hidden="1">
      <extLst>
        <ext xmlns:x15="http://schemas.microsoft.com/office/spreadsheetml/2010/11/main" uri="{B97F6D7D-B522-45F9-BDA1-12C45D357490}">
          <x15:cacheHierarchy aggregatedColumn="9"/>
        </ext>
      </extLst>
    </cacheHierarchy>
    <cacheHierarchy uniqueName="[Measures].[Count of Attendance%]" caption="Count of Attendance%" measure="1" displayFolder="" measureGroup="Table2" count="0" hidden="1">
      <extLst>
        <ext xmlns:x15="http://schemas.microsoft.com/office/spreadsheetml/2010/11/main" uri="{B97F6D7D-B522-45F9-BDA1-12C45D357490}">
          <x15:cacheHierarchy aggregatedColumn="8"/>
        </ext>
      </extLst>
    </cacheHierarchy>
    <cacheHierarchy uniqueName="[Measures].[Max of Score]" caption="Max of Score" measure="1" displayFolder="" measureGroup="Table2" count="0" hidden="1">
      <extLst>
        <ext xmlns:x15="http://schemas.microsoft.com/office/spreadsheetml/2010/11/main" uri="{B97F6D7D-B522-45F9-BDA1-12C45D357490}">
          <x15:cacheHierarchy aggregatedColumn="7"/>
        </ext>
      </extLst>
    </cacheHierarchy>
    <cacheHierarchy uniqueName="[Measures].[Count of ExamDate]" caption="Count of ExamDate" measure="1" displayFolder="" measureGroup="Table2" count="0" hidden="1">
      <extLst>
        <ext xmlns:x15="http://schemas.microsoft.com/office/spreadsheetml/2010/11/main" uri="{B97F6D7D-B522-45F9-BDA1-12C45D357490}">
          <x15:cacheHierarchy aggregatedColumn="6"/>
        </ext>
      </extLst>
    </cacheHierarchy>
    <cacheHierarchy uniqueName="[Measures].[Count of Average student grades]" caption="Count of Average student grades" measure="1" displayFolder="" measureGroup="Table2" count="0" hidden="1">
      <extLst>
        <ext xmlns:x15="http://schemas.microsoft.com/office/spreadsheetml/2010/11/main" uri="{B97F6D7D-B522-45F9-BDA1-12C45D357490}">
          <x15:cacheHierarchy aggregatedColumn="14"/>
        </ext>
      </extLst>
    </cacheHierarchy>
    <cacheHierarchy uniqueName="[Measures].[Count of Name]" caption="Count of Name" measure="1" displayFolder="" measureGroup="Table2" count="0" hidden="1">
      <extLst>
        <ext xmlns:x15="http://schemas.microsoft.com/office/spreadsheetml/2010/11/main" uri="{B97F6D7D-B522-45F9-BDA1-12C45D357490}">
          <x15:cacheHierarchy aggregatedColumn="1"/>
        </ext>
      </extLst>
    </cacheHierarchy>
    <cacheHierarchy uniqueName="[Measures].[Sum of StudentID]" caption="Sum of StudentID" measure="1" displayFolder="" measureGroup="Table2"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Table2"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elzaghal" refreshedDate="45934.406369328703" backgroundQuery="1" createdVersion="3" refreshedVersion="7" minRefreshableVersion="3" recordCount="0" supportSubquery="1" supportAdvancedDrill="1" xr:uid="{58127538-1D36-47C6-832B-322B5018AC8D}">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Table2].[StudentID]" caption="StudentID" attribute="1" defaultMemberUniqueName="[Table2].[StudentID].[All]" allUniqueName="[Table2].[StudentID].[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Department]" caption="Department" attribute="1" defaultMemberUniqueName="[Table2].[Department].[All]" allUniqueName="[Table2].[Department].[All]" dimensionUniqueName="[Table2]" displayFolder="" count="0" memberValueDatatype="130" unbalanced="0"/>
    <cacheHierarchy uniqueName="[Table2].[Subject]" caption="Subject" attribute="1" defaultMemberUniqueName="[Table2].[Subject].[All]" allUniqueName="[Table2].[Subject].[All]" dimensionUniqueName="[Table2]" displayFolder="" count="2" memberValueDatatype="130" unbalanced="0"/>
    <cacheHierarchy uniqueName="[Table2].[ExamDate]" caption="ExamDate" attribute="1" defaultMemberUniqueName="[Table2].[ExamDate].[All]" allUniqueName="[Table2].[ExamDate].[All]" dimensionUniqueName="[Table2]" displayFolder="" count="0" memberValueDatatype="130" unbalanced="0"/>
    <cacheHierarchy uniqueName="[Table2].[Score]" caption="Score" attribute="1" defaultMemberUniqueName="[Table2].[Score].[All]" allUniqueName="[Table2].[Score].[All]" dimensionUniqueName="[Table2]" displayFolder="" count="2" memberValueDatatype="20" unbalanced="0"/>
    <cacheHierarchy uniqueName="[Table2].[Attendance%]" caption="Attendance%" attribute="1" defaultMemberUniqueName="[Table2].[Attendance%].[All]" allUniqueName="[Table2].[Attendance%].[All]" dimensionUniqueName="[Table2]" displayFolder="" count="2" memberValueDatatype="130" unbalanced="0"/>
    <cacheHierarchy uniqueName="[Table2].[Grade]" caption="Grade" attribute="1" defaultMemberUniqueName="[Table2].[Grade].[All]" allUniqueName="[Table2].[Grade].[All]" dimensionUniqueName="[Table2]" displayFolder="" count="0" memberValueDatatype="130" unbalanced="0"/>
    <cacheHierarchy uniqueName="[Table2].[Semester]" caption="Semester" attribute="1" defaultMemberUniqueName="[Table2].[Semester].[All]" allUniqueName="[Table2].[Semester].[All]" dimensionUniqueName="[Table2]" displayFolder="" count="0" memberValueDatatype="20" unbalanced="0"/>
    <cacheHierarchy uniqueName="[Table2].[City]" caption="City" attribute="1" defaultMemberUniqueName="[Table2].[City].[All]" allUniqueName="[Table2].[City].[All]" dimensionUniqueName="[Table2]" displayFolder="" count="0" memberValueDatatype="130" unbalanced="0"/>
    <cacheHierarchy uniqueName="[Table2].[Percentage]" caption="Percentage" attribute="1" defaultMemberUniqueName="[Table2].[Percentage].[All]" allUniqueName="[Table2].[Percentage].[All]" dimensionUniqueName="[Table2]" displayFolder="" count="0" memberValueDatatype="5" unbalanced="0"/>
    <cacheHierarchy uniqueName="[Table2].[Pass/Fail]" caption="Pass/Fail" attribute="1" defaultMemberUniqueName="[Table2].[Pass/Fail].[All]" allUniqueName="[Table2].[Pass/Fail].[All]" dimensionUniqueName="[Table2]" displayFolder="" count="0" memberValueDatatype="130" unbalanced="0"/>
    <cacheHierarchy uniqueName="[Table2].[Average student grades]" caption="Average student grades" attribute="1" defaultMemberUniqueName="[Table2].[Average student grades].[All]" allUniqueName="[Table2].[Average student grades].[All]" dimensionUniqueName="[Table2]" displayFolder="" count="0" memberValueDatatype="130" unbalanced="0"/>
    <cacheHierarchy uniqueName="[Table2].[Number of successful students]" caption="Number of successful students" attribute="1" defaultMemberUniqueName="[Table2].[Number of successful students].[All]" allUniqueName="[Table2].[Number of successful students].[All]" dimensionUniqueName="[Table2]" displayFolder="" count="0" memberValueDatatype="2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ss/Fail]" caption="Count of Pass/Fail" measure="1" displayFolder="" measureGroup="Table2" count="0" hidden="1">
      <extLst>
        <ext xmlns:x15="http://schemas.microsoft.com/office/spreadsheetml/2010/11/main" uri="{B97F6D7D-B522-45F9-BDA1-12C45D357490}">
          <x15:cacheHierarchy aggregatedColumn="13"/>
        </ext>
      </extLst>
    </cacheHierarchy>
    <cacheHierarchy uniqueName="[Measures].[Sum of Score]" caption="Sum of Score" measure="1" displayFolder="" measureGroup="Table2" count="0" hidden="1">
      <extLst>
        <ext xmlns:x15="http://schemas.microsoft.com/office/spreadsheetml/2010/11/main" uri="{B97F6D7D-B522-45F9-BDA1-12C45D357490}">
          <x15:cacheHierarchy aggregatedColumn="7"/>
        </ext>
      </extLst>
    </cacheHierarchy>
    <cacheHierarchy uniqueName="[Measures].[Count of Grade]" caption="Count of Grade" measure="1" displayFolder="" measureGroup="Table2" count="0" hidden="1">
      <extLst>
        <ext xmlns:x15="http://schemas.microsoft.com/office/spreadsheetml/2010/11/main" uri="{B97F6D7D-B522-45F9-BDA1-12C45D357490}">
          <x15:cacheHierarchy aggregatedColumn="9"/>
        </ext>
      </extLst>
    </cacheHierarchy>
    <cacheHierarchy uniqueName="[Measures].[Count of Attendance%]" caption="Count of Attendance%" measure="1" displayFolder="" measureGroup="Table2" count="0" hidden="1">
      <extLst>
        <ext xmlns:x15="http://schemas.microsoft.com/office/spreadsheetml/2010/11/main" uri="{B97F6D7D-B522-45F9-BDA1-12C45D357490}">
          <x15:cacheHierarchy aggregatedColumn="8"/>
        </ext>
      </extLst>
    </cacheHierarchy>
    <cacheHierarchy uniqueName="[Measures].[Max of Score]" caption="Max of Score" measure="1" displayFolder="" measureGroup="Table2" count="0" hidden="1">
      <extLst>
        <ext xmlns:x15="http://schemas.microsoft.com/office/spreadsheetml/2010/11/main" uri="{B97F6D7D-B522-45F9-BDA1-12C45D357490}">
          <x15:cacheHierarchy aggregatedColumn="7"/>
        </ext>
      </extLst>
    </cacheHierarchy>
    <cacheHierarchy uniqueName="[Measures].[Count of ExamDate]" caption="Count of ExamDate" measure="1" displayFolder="" measureGroup="Table2" count="0" hidden="1">
      <extLst>
        <ext xmlns:x15="http://schemas.microsoft.com/office/spreadsheetml/2010/11/main" uri="{B97F6D7D-B522-45F9-BDA1-12C45D357490}">
          <x15:cacheHierarchy aggregatedColumn="6"/>
        </ext>
      </extLst>
    </cacheHierarchy>
    <cacheHierarchy uniqueName="[Measures].[Count of Average student grades]" caption="Count of Average student grades" measure="1" displayFolder="" measureGroup="Table2" count="0" hidden="1">
      <extLst>
        <ext xmlns:x15="http://schemas.microsoft.com/office/spreadsheetml/2010/11/main" uri="{B97F6D7D-B522-45F9-BDA1-12C45D357490}">
          <x15:cacheHierarchy aggregatedColumn="14"/>
        </ext>
      </extLst>
    </cacheHierarchy>
    <cacheHierarchy uniqueName="[Measures].[Count of Name]" caption="Count of Name" measure="1" displayFolder="" measureGroup="Table2" count="0" hidden="1">
      <extLst>
        <ext xmlns:x15="http://schemas.microsoft.com/office/spreadsheetml/2010/11/main" uri="{B97F6D7D-B522-45F9-BDA1-12C45D357490}">
          <x15:cacheHierarchy aggregatedColumn="1"/>
        </ext>
      </extLst>
    </cacheHierarchy>
    <cacheHierarchy uniqueName="[Measures].[Sum of StudentID]" caption="Sum of StudentID" measure="1" displayFolder="" measureGroup="Table2" count="0" hidden="1">
      <extLst>
        <ext xmlns:x15="http://schemas.microsoft.com/office/spreadsheetml/2010/11/main" uri="{B97F6D7D-B522-45F9-BDA1-12C45D357490}">
          <x15:cacheHierarchy aggregatedColumn="0"/>
        </ext>
      </extLst>
    </cacheHierarchy>
    <cacheHierarchy uniqueName="[Measures].[Count of City]" caption="Count of City" measure="1" displayFolder="" measureGroup="Table2"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2089382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149F5E-5C1F-43D5-80FB-0656ADEFC81E}" name="PivotTable7" cacheId="30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1:B18" firstHeaderRow="1"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Count of Attendance%" fld="1" subtotal="count" baseField="0" baseItem="0"/>
  </dataFields>
  <chartFormats count="18">
    <chartFormat chart="0" format="0"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 chart="3" format="21">
      <pivotArea type="data" outline="0" fieldPosition="0">
        <references count="2">
          <reference field="4294967294" count="1" selected="0">
            <x v="0"/>
          </reference>
          <reference field="0" count="1" selected="0">
            <x v="2"/>
          </reference>
        </references>
      </pivotArea>
    </chartFormat>
    <chartFormat chart="3" format="22">
      <pivotArea type="data" outline="0" fieldPosition="0">
        <references count="2">
          <reference field="4294967294" count="1" selected="0">
            <x v="0"/>
          </reference>
          <reference field="0" count="1" selected="0">
            <x v="3"/>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 chart="3" format="24">
      <pivotArea type="data" outline="0" fieldPosition="0">
        <references count="2">
          <reference field="4294967294" count="1" selected="0">
            <x v="0"/>
          </reference>
          <reference field="0" count="1" selected="0">
            <x v="5"/>
          </reference>
        </references>
      </pivotArea>
    </chartFormat>
    <chartFormat chart="3" format="25">
      <pivotArea type="data" outline="0" fieldPosition="0">
        <references count="2">
          <reference field="4294967294" count="1" selected="0">
            <x v="0"/>
          </reference>
          <reference field="0" count="1" selected="0">
            <x v="6"/>
          </reference>
        </references>
      </pivotArea>
    </chartFormat>
    <chartFormat chart="3" format="26">
      <pivotArea type="data" outline="0" fieldPosition="0">
        <references count="2">
          <reference field="4294967294" count="1" selected="0">
            <x v="0"/>
          </reference>
          <reference field="0" count="1" selected="0">
            <x v="7"/>
          </reference>
        </references>
      </pivotArea>
    </chartFormat>
    <chartFormat chart="3" format="27">
      <pivotArea type="data" outline="0" fieldPosition="0">
        <references count="2">
          <reference field="4294967294" count="1" selected="0">
            <x v="0"/>
          </reference>
          <reference field="0" count="1" selected="0">
            <x v="8"/>
          </reference>
        </references>
      </pivotArea>
    </chartFormat>
    <chartFormat chart="3" format="28">
      <pivotArea type="data" outline="0" fieldPosition="0">
        <references count="2">
          <reference field="4294967294" count="1" selected="0">
            <x v="0"/>
          </reference>
          <reference field="0" count="1" selected="0">
            <x v="9"/>
          </reference>
        </references>
      </pivotArea>
    </chartFormat>
    <chartFormat chart="3" format="29">
      <pivotArea type="data" outline="0" fieldPosition="0">
        <references count="2">
          <reference field="4294967294" count="1" selected="0">
            <x v="0"/>
          </reference>
          <reference field="0" count="1" selected="0">
            <x v="10"/>
          </reference>
        </references>
      </pivotArea>
    </chartFormat>
    <chartFormat chart="3" format="30">
      <pivotArea type="data" outline="0" fieldPosition="0">
        <references count="2">
          <reference field="4294967294" count="1" selected="0">
            <x v="0"/>
          </reference>
          <reference field="0" count="1" selected="0">
            <x v="11"/>
          </reference>
        </references>
      </pivotArea>
    </chartFormat>
    <chartFormat chart="3" format="31">
      <pivotArea type="data" outline="0" fieldPosition="0">
        <references count="2">
          <reference field="4294967294" count="1" selected="0">
            <x v="0"/>
          </reference>
          <reference field="0" count="1" selected="0">
            <x v="12"/>
          </reference>
        </references>
      </pivotArea>
    </chartFormat>
    <chartFormat chart="3" format="32">
      <pivotArea type="data" outline="0" fieldPosition="0">
        <references count="2">
          <reference field="4294967294" count="1" selected="0">
            <x v="0"/>
          </reference>
          <reference field="0" count="1" selected="0">
            <x v="13"/>
          </reference>
        </references>
      </pivotArea>
    </chartFormat>
    <chartFormat chart="3" format="33">
      <pivotArea type="data" outline="0" fieldPosition="0">
        <references count="2">
          <reference field="4294967294" count="1" selected="0">
            <x v="0"/>
          </reference>
          <reference field="0" count="1" selected="0">
            <x v="14"/>
          </reference>
        </references>
      </pivotArea>
    </chartFormat>
    <chartFormat chart="3" format="34">
      <pivotArea type="data" outline="0" fieldPosition="0">
        <references count="2">
          <reference field="4294967294" count="1" selected="0">
            <x v="0"/>
          </reference>
          <reference field="0" count="1" selected="0">
            <x v="15"/>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ucation_Dashboard_Datas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A28500-73C7-4348-9CA6-EA1AA95F81A4}" name="PivotTable6" cacheId="3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3:B79" firstHeaderRow="1" firstDataRow="1" firstDataCol="1"/>
  <pivotFields count="3">
    <pivotField axis="axisRow" allDrilled="1" subtotalTop="0" showAll="0" dataSourceSort="1" defaultSubtotal="0" defaultAttributeDrillState="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dataField="1" subtotalTop="0" showAll="0" defaultSubtotal="0"/>
    <pivotField allDrilled="1" subtotalTop="0" showAll="0" dataSourceSort="1" defaultSubtotal="0" defaultAttributeDrillState="1"/>
  </pivotFields>
  <rowFields count="1">
    <field x="0"/>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t="grand">
      <x/>
    </i>
  </rowItems>
  <colItems count="1">
    <i/>
  </colItems>
  <dataFields count="1">
    <dataField name="Sum of StudentI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ucation_Dashboard_Datas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348947-35AE-4AB9-8DC2-EC9BAE413809}" name="PivotTable2" cacheId="30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G3" firstHeaderRow="1" firstDataRow="2" firstDataCol="1"/>
  <pivotFields count="3">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Fields count="1">
    <field x="0"/>
  </colFields>
  <colItems count="6">
    <i>
      <x/>
    </i>
    <i>
      <x v="1"/>
    </i>
    <i>
      <x v="2"/>
    </i>
    <i>
      <x v="3"/>
    </i>
    <i>
      <x v="4"/>
    </i>
    <i t="grand">
      <x/>
    </i>
  </colItems>
  <dataFields count="1">
    <dataField name="Count of Grade" fld="1" subtotal="count" baseField="0" baseItem="0"/>
  </dataFields>
  <formats count="1">
    <format dxfId="9">
      <pivotArea type="all" dataOnly="0" outline="0" fieldPosition="0"/>
    </format>
  </formats>
  <pivotHierarchies count="28">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ucation_Dashboard_Datas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E7DB66-AF9E-45EB-9AB0-B2FC011A30D3}" name="Average grades for each subject" cacheId="30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A1:B18" firstHeaderRow="1"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Scor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ucation_Dashboard_Datas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B8E696-7B7C-40AA-8E9C-DEB152868C64}" name="PivotTable1" cacheId="3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D3"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Fields count="1">
    <field x="0"/>
  </colFields>
  <colItems count="3">
    <i>
      <x/>
    </i>
    <i>
      <x v="1"/>
    </i>
    <i t="grand">
      <x/>
    </i>
  </colItems>
  <dataFields count="1">
    <dataField name="Count of Pass/Fail2" fld="1" subtotal="count" showDataAs="percentOfRow" baseField="0" baseItem="0" numFmtId="10"/>
  </dataFields>
  <formats count="9">
    <format dxfId="0">
      <pivotArea collapsedLevelsAreSubtotals="1" fieldPosition="0">
        <references count="1">
          <reference field="0" count="1">
            <x v="0"/>
          </reference>
        </references>
      </pivotArea>
    </format>
    <format dxfId="1">
      <pivotArea collapsedLevelsAreSubtotals="1" fieldPosition="0">
        <references count="1">
          <reference field="0" count="1">
            <x v="1"/>
          </reference>
        </references>
      </pivotArea>
    </format>
    <format dxfId="2">
      <pivotArea outline="0" fieldPosition="0">
        <references count="1">
          <reference field="4294967294" count="1">
            <x v="0"/>
          </reference>
        </references>
      </pivotArea>
    </format>
    <format dxfId="3">
      <pivotArea outline="0" collapsedLevelsAreSubtotals="1" fieldPosition="0">
        <references count="1">
          <reference field="0" count="1" selected="0">
            <x v="1"/>
          </reference>
        </references>
      </pivotArea>
    </format>
    <format dxfId="4">
      <pivotArea outline="0" collapsedLevelsAreSubtotals="1" fieldPosition="0">
        <references count="1">
          <reference field="0" count="1" selected="0">
            <x v="0"/>
          </reference>
        </references>
      </pivotArea>
    </format>
    <format dxfId="5">
      <pivotArea outline="0" collapsedLevelsAreSubtotals="1" fieldPosition="0">
        <references count="1">
          <reference field="0" count="1" selected="0">
            <x v="1"/>
          </reference>
        </references>
      </pivotArea>
    </format>
    <format dxfId="6">
      <pivotArea dataOnly="0" labelOnly="1" fieldPosition="0">
        <references count="1">
          <reference field="0" count="1">
            <x v="1"/>
          </reference>
        </references>
      </pivotArea>
    </format>
    <format dxfId="7">
      <pivotArea outline="0" collapsedLevelsAreSubtotals="1" fieldPosition="0">
        <references count="1">
          <reference field="0" count="1" selected="0">
            <x v="0"/>
          </reference>
        </references>
      </pivotArea>
    </format>
    <format dxfId="8">
      <pivotArea dataOnly="0" labelOnly="1" fieldPosition="0">
        <references count="1">
          <reference field="0" count="1">
            <x v="0"/>
          </reference>
        </references>
      </pivotArea>
    </format>
  </formats>
  <pivotHierarchies count="28">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ucation_Dashboard_Datas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0091C2-2EFC-46E9-8863-532FC0D223F8}" name="PivotTable3" cacheId="30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D1:E33"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Attendanc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ucation_Dashboard_Datas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EC0ACE-A084-4B5D-BBAA-7AFE418E6F7E}" name="Top 3 Students" cacheId="3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B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core" fld="1" baseField="0" baseItem="0"/>
  </dataFields>
  <pivotHierarchies count="28">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ucation_Dashboard_Datas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29E289F5-AF39-4ABC-9E5C-FA72DB3D6ED7}" sourceName="[Table2].[Subject]">
  <pivotTables>
    <pivotTable tabId="17" name="PivotTable6"/>
    <pivotTable tabId="18" name="PivotTable7"/>
    <pivotTable tabId="15" name="PivotTable3"/>
    <pivotTable tabId="3" name="Average grades for each subject"/>
    <pivotTable tabId="14" name="PivotTable2"/>
    <pivotTable tabId="12" name="PivotTable1"/>
    <pivotTable tabId="5" name="Top 3 Students"/>
  </pivotTables>
  <data>
    <olap pivotCacheId="1208938256">
      <levels count="2">
        <level uniqueName="[Table2].[Subject].[(All)]" sourceCaption="(All)" count="0"/>
        <level uniqueName="[Table2].[Subject].[Subject]" sourceCaption="Subject" count="16">
          <ranges>
            <range startItem="0">
              <i n="[Table2].[Subject].&amp;[Accounting]" c="Accounting"/>
              <i n="[Table2].[Subject].&amp;[AI]" c="AI"/>
              <i n="[Table2].[Subject].&amp;[Data Structure]" c="Data Structure"/>
              <i n="[Table2].[Subject].&amp;[Design]" c="Design"/>
              <i n="[Table2].[Subject].&amp;[Economics]" c="Economics"/>
              <i n="[Table2].[Subject].&amp;[Electronics]" c="Electronics"/>
              <i n="[Table2].[Subject].&amp;[Finance]" c="Finance"/>
              <i n="[Table2].[Subject].&amp;[History]" c="History"/>
              <i n="[Table2].[Subject].&amp;[Linguistics]" c="Linguistics"/>
              <i n="[Table2].[Subject].&amp;[Literature]" c="Literature"/>
              <i n="[Table2].[Subject].&amp;[Marketing]" c="Marketing"/>
              <i n="[Table2].[Subject].&amp;[Math]" c="Math"/>
              <i n="[Table2].[Subject].&amp;[Mechanics]" c="Mechanics"/>
              <i n="[Table2].[Subject].&amp;[Philosophy]" c="Philosophy"/>
              <i n="[Table2].[Subject].&amp;[Physics]" c="Physics"/>
              <i n="[Table2].[Subject].&amp;[Programming]" c="Programming"/>
            </range>
          </ranges>
        </level>
      </levels>
      <selections count="1">
        <selection n="[Table2].[Subje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DAEE0015-6FCD-4BB8-9862-51E3F5E58F7B}" sourceName="[Table2].[Attendance%]">
  <pivotTables>
    <pivotTable tabId="17" name="PivotTable6"/>
    <pivotTable tabId="18" name="PivotTable7"/>
    <pivotTable tabId="15" name="PivotTable3"/>
    <pivotTable tabId="3" name="Average grades for each subject"/>
    <pivotTable tabId="14" name="PivotTable2"/>
    <pivotTable tabId="12" name="PivotTable1"/>
    <pivotTable tabId="5" name="Top 3 Students"/>
  </pivotTables>
  <data>
    <olap pivotCacheId="1208938256">
      <levels count="2">
        <level uniqueName="[Table2].[Attendance%].[(All)]" sourceCaption="(All)" count="0"/>
        <level uniqueName="[Table2].[Attendance%].[Attendance%]" sourceCaption="Attendance%" count="31">
          <ranges>
            <range startItem="0">
              <i n="[Table2].[Attendance%].&amp;[100%]" c="100%"/>
              <i n="[Table2].[Attendance%].&amp;[70%]" c="70%"/>
              <i n="[Table2].[Attendance%].&amp;[71%]" c="71%"/>
              <i n="[Table2].[Attendance%].&amp;[72%]" c="72%"/>
              <i n="[Table2].[Attendance%].&amp;[73%]" c="73%"/>
              <i n="[Table2].[Attendance%].&amp;[74%]" c="74%"/>
              <i n="[Table2].[Attendance%].&amp;[75%]" c="75%"/>
              <i n="[Table2].[Attendance%].&amp;[76%]" c="76%"/>
              <i n="[Table2].[Attendance%].&amp;[77%]" c="77%"/>
              <i n="[Table2].[Attendance%].&amp;[78%]" c="78%"/>
              <i n="[Table2].[Attendance%].&amp;[79%]" c="79%"/>
              <i n="[Table2].[Attendance%].&amp;[80%]" c="80%"/>
              <i n="[Table2].[Attendance%].&amp;[81%]" c="81%"/>
              <i n="[Table2].[Attendance%].&amp;[82%]" c="82%"/>
              <i n="[Table2].[Attendance%].&amp;[83%]" c="83%"/>
              <i n="[Table2].[Attendance%].&amp;[84%]" c="84%"/>
              <i n="[Table2].[Attendance%].&amp;[85%]" c="85%"/>
              <i n="[Table2].[Attendance%].&amp;[86%]" c="86%"/>
              <i n="[Table2].[Attendance%].&amp;[87%]" c="87%"/>
              <i n="[Table2].[Attendance%].&amp;[88%]" c="88%"/>
              <i n="[Table2].[Attendance%].&amp;[89%]" c="89%"/>
              <i n="[Table2].[Attendance%].&amp;[90%]" c="90%"/>
              <i n="[Table2].[Attendance%].&amp;[91%]" c="91%"/>
              <i n="[Table2].[Attendance%].&amp;[92%]" c="92%"/>
              <i n="[Table2].[Attendance%].&amp;[93%]" c="93%"/>
              <i n="[Table2].[Attendance%].&amp;[94%]" c="94%"/>
              <i n="[Table2].[Attendance%].&amp;[95%]" c="95%"/>
              <i n="[Table2].[Attendance%].&amp;[96%]" c="96%"/>
              <i n="[Table2].[Attendance%].&amp;[97%]" c="97%"/>
              <i n="[Table2].[Attendance%].&amp;[98%]" c="98%"/>
              <i n="[Table2].[Attendance%].&amp;[99%]" c="99%"/>
            </range>
          </ranges>
        </level>
      </levels>
      <selections count="1">
        <selection n="[Table2].[Attendan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 xr10:uid="{124BCF54-DADE-4AB1-8000-03CE7F4D9236}" sourceName="[Table2].[Score]">
  <pivotTables>
    <pivotTable tabId="17" name="PivotTable6"/>
    <pivotTable tabId="18" name="PivotTable7"/>
    <pivotTable tabId="15" name="PivotTable3"/>
    <pivotTable tabId="3" name="Average grades for each subject"/>
    <pivotTable tabId="14" name="PivotTable2"/>
    <pivotTable tabId="12" name="PivotTable1"/>
    <pivotTable tabId="5" name="Top 3 Students"/>
  </pivotTables>
  <data>
    <olap pivotCacheId="1208938256">
      <levels count="2">
        <level uniqueName="[Table2].[Score].[(All)]" sourceCaption="(All)" count="0"/>
        <level uniqueName="[Table2].[Score].[Score]" sourceCaption="Score" count="54">
          <ranges>
            <range startItem="0">
              <i n="[Table2].[Score].&amp;[40]" c="40"/>
              <i n="[Table2].[Score].&amp;[41]" c="41"/>
              <i n="[Table2].[Score].&amp;[42]" c="42"/>
              <i n="[Table2].[Score].&amp;[43]" c="43"/>
              <i n="[Table2].[Score].&amp;[44]" c="44"/>
              <i n="[Table2].[Score].&amp;[45]" c="45"/>
              <i n="[Table2].[Score].&amp;[46]" c="46"/>
              <i n="[Table2].[Score].&amp;[47]" c="47"/>
              <i n="[Table2].[Score].&amp;[48]" c="48"/>
              <i n="[Table2].[Score].&amp;[49]" c="49"/>
              <i n="[Table2].[Score].&amp;[51]" c="51"/>
              <i n="[Table2].[Score].&amp;[52]" c="52"/>
              <i n="[Table2].[Score].&amp;[53]" c="53"/>
              <i n="[Table2].[Score].&amp;[54]" c="54"/>
              <i n="[Table2].[Score].&amp;[55]" c="55"/>
              <i n="[Table2].[Score].&amp;[57]" c="57"/>
              <i n="[Table2].[Score].&amp;[58]" c="58"/>
              <i n="[Table2].[Score].&amp;[59]" c="59"/>
              <i n="[Table2].[Score].&amp;[60]" c="60"/>
              <i n="[Table2].[Score].&amp;[61]" c="61"/>
              <i n="[Table2].[Score].&amp;[62]" c="62"/>
              <i n="[Table2].[Score].&amp;[64]" c="64"/>
              <i n="[Table2].[Score].&amp;[65]" c="65"/>
              <i n="[Table2].[Score].&amp;[66]" c="66"/>
              <i n="[Table2].[Score].&amp;[67]" c="67"/>
              <i n="[Table2].[Score].&amp;[68]" c="68"/>
              <i n="[Table2].[Score].&amp;[69]" c="69"/>
              <i n="[Table2].[Score].&amp;[70]" c="70"/>
              <i n="[Table2].[Score].&amp;[71]" c="71"/>
              <i n="[Table2].[Score].&amp;[72]" c="72"/>
              <i n="[Table2].[Score].&amp;[74]" c="74"/>
              <i n="[Table2].[Score].&amp;[75]" c="75"/>
              <i n="[Table2].[Score].&amp;[76]" c="76"/>
              <i n="[Table2].[Score].&amp;[77]" c="77"/>
              <i n="[Table2].[Score].&amp;[78]" c="78"/>
              <i n="[Table2].[Score].&amp;[79]" c="79"/>
              <i n="[Table2].[Score].&amp;[80]" c="80"/>
              <i n="[Table2].[Score].&amp;[81]" c="81"/>
              <i n="[Table2].[Score].&amp;[82]" c="82"/>
              <i n="[Table2].[Score].&amp;[83]" c="83"/>
              <i n="[Table2].[Score].&amp;[84]" c="84"/>
              <i n="[Table2].[Score].&amp;[85]" c="85"/>
              <i n="[Table2].[Score].&amp;[87]" c="87"/>
              <i n="[Table2].[Score].&amp;[89]" c="89"/>
              <i n="[Table2].[Score].&amp;[91]" c="91"/>
              <i n="[Table2].[Score].&amp;[92]" c="92"/>
              <i n="[Table2].[Score].&amp;[93]" c="93"/>
              <i n="[Table2].[Score].&amp;[94]" c="94"/>
              <i n="[Table2].[Score].&amp;[95]" c="95"/>
              <i n="[Table2].[Score].&amp;[96]" c="96"/>
              <i n="[Table2].[Score].&amp;[97]" c="97"/>
              <i n="[Table2].[Score].&amp;[98]" c="98"/>
              <i n="[Table2].[Score].&amp;[99]" c="99"/>
              <i n="[Table2].[Score].&amp;[100]" c="100"/>
            </range>
          </ranges>
        </level>
      </levels>
      <selections count="1">
        <selection n="[Table2].[Sco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xr10:uid="{48B02731-CCB8-47B7-B181-7FD897EEE72E}" cache="Slicer_Subject" caption="Subject" level="1" rowHeight="241300"/>
  <slicer name="Attendance%" xr10:uid="{8D82BDAA-61B1-44F3-9DDD-EAB7277F5D55}" cache="Slicer_Attendance" caption="Attendance%" startItem="9" level="1" rowHeight="241300"/>
  <slicer name="Score" xr10:uid="{D42957F9-9DAC-441B-AFC9-D4D232943AF5}" cache="Slicer_Score" caption="Score" startItem="18"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386B85-177F-4798-B000-ECD213946892}" name="Table2" displayName="Table2" ref="A1:P103" totalsRowCount="1" headerRowDxfId="60" headerRowBorderDxfId="59" tableBorderDxfId="58">
  <autoFilter ref="A1:P102" xr:uid="{8C386B85-177F-4798-B000-ECD213946892}"/>
  <tableColumns count="16">
    <tableColumn id="1" xr3:uid="{E337CFC5-FF6A-4EB8-BCC4-3E77E661F543}" name="StudentID"/>
    <tableColumn id="2" xr3:uid="{EDE624BC-9DE4-4D3C-A0A6-679D3F6878B5}" name="Name"/>
    <tableColumn id="3" xr3:uid="{87F0E0A7-04B7-47A1-9507-9AEEB98454FA}" name="Gender"/>
    <tableColumn id="4" xr3:uid="{9C432B1E-C29D-4D7D-BE08-95EF3AFB0FD2}" name="Age"/>
    <tableColumn id="5" xr3:uid="{1E038615-DB83-4A73-9713-68E02C057FE9}" name="Department"/>
    <tableColumn id="6" xr3:uid="{0E7C69A6-7086-4451-B682-4FE03D51F230}" name="Subject"/>
    <tableColumn id="7" xr3:uid="{D250B9D7-6879-40A1-9505-0EAF5400ABBC}" name="ExamDate"/>
    <tableColumn id="8" xr3:uid="{C7B46DD4-5C51-4B31-93C4-2AB36AB401C6}" name="Score"/>
    <tableColumn id="9" xr3:uid="{3D47D713-C1C1-47BB-B57A-100681E0F42F}" name="Attendance%"/>
    <tableColumn id="10" xr3:uid="{C00D5596-FA7E-4612-94F6-3CF6C7BE3EDC}" name="Grade"/>
    <tableColumn id="11" xr3:uid="{C2D090BC-F4DF-4211-B37F-D03410440A3E}" name="Semester"/>
    <tableColumn id="12" xr3:uid="{A64F1585-93E4-4FBE-B0F2-13CCF77E7A97}" name="City"/>
    <tableColumn id="13" xr3:uid="{D4E1C259-75F0-4A15-B8FE-F495F07A3440}" name="Percentage" dataDxfId="57" totalsRowDxfId="53">
      <calculatedColumnFormula xml:space="preserve"> (Table2[[#This Row],[Score]]/100) * 100</calculatedColumnFormula>
    </tableColumn>
    <tableColumn id="14" xr3:uid="{4B606B46-B385-4B16-A972-A87BAA2A7AAC}" name="Pass/Fail" dataDxfId="56" totalsRowDxfId="52">
      <calculatedColumnFormula>IF(Table2[[#This Row],[Score]]/100&gt;=0.5,"pass","fail")</calculatedColumnFormula>
    </tableColumn>
    <tableColumn id="15" xr3:uid="{53646F06-2211-4015-85BE-3118022E1948}" name="Average student grades" dataDxfId="55" totalsRowDxfId="51">
      <calculatedColumnFormula>AVERAGEIF(B:B,Table2[[#This Row],[Name]],Table2[Score])</calculatedColumnFormula>
    </tableColumn>
    <tableColumn id="16" xr3:uid="{CF830E82-8513-4F5F-B7F9-74A46BF72527}" name="Number of successful students" dataDxfId="54" totalsRowDxfId="50">
      <calculatedColumnFormula>COUNTIF(Table2[Pass/Fail],"Pass")</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3"/>
  <sheetViews>
    <sheetView topLeftCell="A2" zoomScale="85" zoomScaleNormal="85" workbookViewId="0">
      <selection activeCell="I103" sqref="A1:P103"/>
    </sheetView>
  </sheetViews>
  <sheetFormatPr defaultRowHeight="15" x14ac:dyDescent="0.25"/>
  <cols>
    <col min="1" max="1" width="12" customWidth="1"/>
    <col min="3" max="3" width="9.85546875" customWidth="1"/>
    <col min="5" max="5" width="13.85546875" customWidth="1"/>
    <col min="6" max="6" width="9.7109375" customWidth="1"/>
    <col min="7" max="7" width="12" customWidth="1"/>
    <col min="9" max="9" width="15" customWidth="1"/>
    <col min="10" max="10" width="17" customWidth="1"/>
    <col min="11" max="11" width="11.5703125" customWidth="1"/>
    <col min="12" max="12" width="15.140625" customWidth="1"/>
    <col min="13" max="13" width="12.5703125" customWidth="1"/>
    <col min="14" max="14" width="14.7109375" customWidth="1"/>
    <col min="15" max="15" width="20.85546875" customWidth="1"/>
    <col min="16" max="16" width="29.140625" customWidth="1"/>
    <col min="17" max="18" width="1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244</v>
      </c>
      <c r="N1" s="1" t="s">
        <v>245</v>
      </c>
      <c r="O1" s="1" t="s">
        <v>246</v>
      </c>
      <c r="P1" s="1" t="s">
        <v>247</v>
      </c>
    </row>
    <row r="2" spans="1:16" x14ac:dyDescent="0.25">
      <c r="A2">
        <v>101</v>
      </c>
      <c r="B2" t="s">
        <v>12</v>
      </c>
      <c r="C2" t="s">
        <v>112</v>
      </c>
      <c r="D2">
        <v>21</v>
      </c>
      <c r="E2" t="s">
        <v>114</v>
      </c>
      <c r="F2" t="s">
        <v>118</v>
      </c>
      <c r="G2" t="s">
        <v>134</v>
      </c>
      <c r="H2">
        <v>87</v>
      </c>
      <c r="I2" t="s">
        <v>209</v>
      </c>
      <c r="J2" t="s">
        <v>240</v>
      </c>
      <c r="K2">
        <v>2</v>
      </c>
      <c r="L2" t="s">
        <v>253</v>
      </c>
      <c r="M2">
        <f xml:space="preserve"> (Table2[[#This Row],[Score]]/100) * 100</f>
        <v>87</v>
      </c>
      <c r="N2" t="str">
        <f>IF(Table2[[#This Row],[Score]]/100&gt;=0.5,"pass","fail")</f>
        <v>pass</v>
      </c>
      <c r="O2">
        <f ca="1">AVERAGEIF(B:B,Table2[[#This Row],[Name]],Table2[Score])</f>
        <v>42</v>
      </c>
      <c r="P2" s="2">
        <f>COUNTIF(Table2[Pass/Fail],"Pass")</f>
        <v>84</v>
      </c>
    </row>
    <row r="3" spans="1:16" x14ac:dyDescent="0.25">
      <c r="A3">
        <v>102</v>
      </c>
      <c r="B3" t="s">
        <v>13</v>
      </c>
      <c r="C3" t="s">
        <v>113</v>
      </c>
      <c r="D3">
        <v>19</v>
      </c>
      <c r="E3" t="s">
        <v>114</v>
      </c>
      <c r="F3" t="s">
        <v>119</v>
      </c>
      <c r="G3" t="s">
        <v>135</v>
      </c>
      <c r="H3">
        <v>42</v>
      </c>
      <c r="I3" t="s">
        <v>210</v>
      </c>
      <c r="J3" t="s">
        <v>112</v>
      </c>
      <c r="K3">
        <v>1</v>
      </c>
      <c r="L3" t="s">
        <v>254</v>
      </c>
      <c r="M3">
        <f xml:space="preserve"> (Table2[[#This Row],[Score]]/100) * 100</f>
        <v>42</v>
      </c>
      <c r="N3" t="str">
        <f>IF(Table2[[#This Row],[Score]]/100&gt;=0.5,"pass","fail")</f>
        <v>fail</v>
      </c>
      <c r="O3">
        <f ca="1">AVERAGEIF(B:B,Table2[[#This Row],[Name]],Table2[Score])</f>
        <v>54</v>
      </c>
      <c r="P3" s="2">
        <f>COUNTIF(Table2[Pass/Fail],"Pass")</f>
        <v>84</v>
      </c>
    </row>
    <row r="4" spans="1:16" x14ac:dyDescent="0.25">
      <c r="A4">
        <v>103</v>
      </c>
      <c r="B4" t="s">
        <v>14</v>
      </c>
      <c r="C4" t="s">
        <v>112</v>
      </c>
      <c r="D4">
        <v>22</v>
      </c>
      <c r="E4" t="s">
        <v>115</v>
      </c>
      <c r="F4" t="s">
        <v>120</v>
      </c>
      <c r="G4" t="s">
        <v>136</v>
      </c>
      <c r="H4">
        <v>54</v>
      </c>
      <c r="I4" t="s">
        <v>211</v>
      </c>
      <c r="J4" t="s">
        <v>112</v>
      </c>
      <c r="K4">
        <v>3</v>
      </c>
      <c r="L4" t="s">
        <v>255</v>
      </c>
      <c r="M4">
        <f xml:space="preserve"> (Table2[[#This Row],[Score]]/100) * 100</f>
        <v>54</v>
      </c>
      <c r="N4" t="str">
        <f>IF(Table2[[#This Row],[Score]]/100&gt;=0.5,"pass","fail")</f>
        <v>pass</v>
      </c>
      <c r="O4">
        <f ca="1">AVERAGEIF(B:B,Table2[[#This Row],[Name]],Table2[Score])</f>
        <v>49</v>
      </c>
      <c r="P4" s="2">
        <f>COUNTIF(Table2[Pass/Fail],"Pass")</f>
        <v>84</v>
      </c>
    </row>
    <row r="5" spans="1:16" x14ac:dyDescent="0.25">
      <c r="A5">
        <v>104</v>
      </c>
      <c r="B5" t="s">
        <v>15</v>
      </c>
      <c r="C5" t="s">
        <v>113</v>
      </c>
      <c r="D5">
        <v>23</v>
      </c>
      <c r="E5" t="s">
        <v>116</v>
      </c>
      <c r="F5" t="s">
        <v>121</v>
      </c>
      <c r="G5" t="s">
        <v>137</v>
      </c>
      <c r="H5">
        <v>49</v>
      </c>
      <c r="I5" t="s">
        <v>212</v>
      </c>
      <c r="J5" t="s">
        <v>112</v>
      </c>
      <c r="K5">
        <v>2</v>
      </c>
      <c r="L5" t="s">
        <v>256</v>
      </c>
      <c r="M5">
        <f xml:space="preserve"> (Table2[[#This Row],[Score]]/100) * 100</f>
        <v>49</v>
      </c>
      <c r="N5" t="str">
        <f>IF(Table2[[#This Row],[Score]]/100&gt;=0.5,"pass","fail")</f>
        <v>fail</v>
      </c>
      <c r="O5">
        <f ca="1">AVERAGEIF(B:B,Table2[[#This Row],[Name]],Table2[Score])</f>
        <v>91</v>
      </c>
      <c r="P5" s="2">
        <f>COUNTIF(Table2[Pass/Fail],"Pass")</f>
        <v>84</v>
      </c>
    </row>
    <row r="6" spans="1:16" x14ac:dyDescent="0.25">
      <c r="A6">
        <v>105</v>
      </c>
      <c r="B6" t="s">
        <v>16</v>
      </c>
      <c r="C6" t="s">
        <v>113</v>
      </c>
      <c r="D6">
        <v>25</v>
      </c>
      <c r="E6" t="s">
        <v>116</v>
      </c>
      <c r="F6" t="s">
        <v>121</v>
      </c>
      <c r="G6" t="s">
        <v>138</v>
      </c>
      <c r="H6">
        <v>91</v>
      </c>
      <c r="I6" t="s">
        <v>213</v>
      </c>
      <c r="J6" t="s">
        <v>241</v>
      </c>
      <c r="K6">
        <v>7</v>
      </c>
      <c r="L6" t="s">
        <v>257</v>
      </c>
      <c r="M6">
        <f xml:space="preserve"> (Table2[[#This Row],[Score]]/100) * 100</f>
        <v>91</v>
      </c>
      <c r="N6" t="str">
        <f>IF(Table2[[#This Row],[Score]]/100&gt;=0.5,"pass","fail")</f>
        <v>pass</v>
      </c>
      <c r="O6">
        <f ca="1">AVERAGEIF(B:B,Table2[[#This Row],[Name]],Table2[Score])</f>
        <v>76</v>
      </c>
      <c r="P6" s="2">
        <f>COUNTIF(Table2[Pass/Fail],"Pass")</f>
        <v>84</v>
      </c>
    </row>
    <row r="7" spans="1:16" x14ac:dyDescent="0.25">
      <c r="A7">
        <v>106</v>
      </c>
      <c r="B7" t="s">
        <v>17</v>
      </c>
      <c r="C7" t="s">
        <v>113</v>
      </c>
      <c r="D7">
        <v>19</v>
      </c>
      <c r="E7" t="s">
        <v>116</v>
      </c>
      <c r="F7" t="s">
        <v>121</v>
      </c>
      <c r="G7" t="s">
        <v>139</v>
      </c>
      <c r="H7">
        <v>76</v>
      </c>
      <c r="I7" t="s">
        <v>214</v>
      </c>
      <c r="J7" t="s">
        <v>242</v>
      </c>
      <c r="K7">
        <v>5</v>
      </c>
      <c r="L7" t="s">
        <v>258</v>
      </c>
      <c r="M7">
        <f xml:space="preserve"> (Table2[[#This Row],[Score]]/100) * 100</f>
        <v>76</v>
      </c>
      <c r="N7" t="str">
        <f>IF(Table2[[#This Row],[Score]]/100&gt;=0.5,"pass","fail")</f>
        <v>pass</v>
      </c>
      <c r="O7">
        <f ca="1">AVERAGEIF(B:B,Table2[[#This Row],[Name]],Table2[Score])</f>
        <v>64</v>
      </c>
      <c r="P7" s="2">
        <f>COUNTIF(Table2[Pass/Fail],"Pass")</f>
        <v>84</v>
      </c>
    </row>
    <row r="8" spans="1:16" x14ac:dyDescent="0.25">
      <c r="A8">
        <v>107</v>
      </c>
      <c r="B8" t="s">
        <v>18</v>
      </c>
      <c r="C8" t="s">
        <v>112</v>
      </c>
      <c r="D8">
        <v>25</v>
      </c>
      <c r="E8" t="s">
        <v>115</v>
      </c>
      <c r="F8" t="s">
        <v>122</v>
      </c>
      <c r="G8" t="s">
        <v>140</v>
      </c>
      <c r="H8">
        <v>64</v>
      </c>
      <c r="I8" t="s">
        <v>215</v>
      </c>
      <c r="J8" t="s">
        <v>243</v>
      </c>
      <c r="K8">
        <v>3</v>
      </c>
      <c r="L8" t="s">
        <v>259</v>
      </c>
      <c r="M8">
        <f xml:space="preserve"> (Table2[[#This Row],[Score]]/100) * 100</f>
        <v>64</v>
      </c>
      <c r="N8" t="str">
        <f>IF(Table2[[#This Row],[Score]]/100&gt;=0.5,"pass","fail")</f>
        <v>pass</v>
      </c>
      <c r="O8">
        <f ca="1">AVERAGEIF(B:B,Table2[[#This Row],[Name]],Table2[Score])</f>
        <v>82</v>
      </c>
      <c r="P8" s="2">
        <f>COUNTIF(Table2[Pass/Fail],"Pass")</f>
        <v>84</v>
      </c>
    </row>
    <row r="9" spans="1:16" x14ac:dyDescent="0.25">
      <c r="A9">
        <v>108</v>
      </c>
      <c r="B9" t="s">
        <v>19</v>
      </c>
      <c r="C9" t="s">
        <v>112</v>
      </c>
      <c r="D9">
        <v>19</v>
      </c>
      <c r="E9" t="s">
        <v>116</v>
      </c>
      <c r="F9" t="s">
        <v>123</v>
      </c>
      <c r="G9" t="s">
        <v>141</v>
      </c>
      <c r="H9">
        <v>82</v>
      </c>
      <c r="I9" t="s">
        <v>216</v>
      </c>
      <c r="J9" t="s">
        <v>240</v>
      </c>
      <c r="K9">
        <v>4</v>
      </c>
      <c r="L9" t="s">
        <v>260</v>
      </c>
      <c r="M9">
        <f xml:space="preserve"> (Table2[[#This Row],[Score]]/100) * 100</f>
        <v>82</v>
      </c>
      <c r="N9" t="str">
        <f>IF(Table2[[#This Row],[Score]]/100&gt;=0.5,"pass","fail")</f>
        <v>pass</v>
      </c>
      <c r="O9">
        <f ca="1">AVERAGEIF(B:B,Table2[[#This Row],[Name]],Table2[Score])</f>
        <v>57</v>
      </c>
      <c r="P9" s="2">
        <f>COUNTIF(Table2[Pass/Fail],"Pass")</f>
        <v>84</v>
      </c>
    </row>
    <row r="10" spans="1:16" x14ac:dyDescent="0.25">
      <c r="A10">
        <v>109</v>
      </c>
      <c r="B10" t="s">
        <v>20</v>
      </c>
      <c r="C10" t="s">
        <v>113</v>
      </c>
      <c r="D10">
        <v>23</v>
      </c>
      <c r="E10" t="s">
        <v>117</v>
      </c>
      <c r="F10" t="s">
        <v>124</v>
      </c>
      <c r="G10" t="s">
        <v>142</v>
      </c>
      <c r="H10">
        <v>57</v>
      </c>
      <c r="I10" t="s">
        <v>217</v>
      </c>
      <c r="J10" t="s">
        <v>112</v>
      </c>
      <c r="K10">
        <v>1</v>
      </c>
      <c r="L10" t="s">
        <v>261</v>
      </c>
      <c r="M10">
        <f xml:space="preserve"> (Table2[[#This Row],[Score]]/100) * 100</f>
        <v>56.999999999999993</v>
      </c>
      <c r="N10" t="str">
        <f>IF(Table2[[#This Row],[Score]]/100&gt;=0.5,"pass","fail")</f>
        <v>pass</v>
      </c>
      <c r="O10">
        <f ca="1">AVERAGEIF(B:B,Table2[[#This Row],[Name]],Table2[Score])</f>
        <v>44</v>
      </c>
      <c r="P10" s="2">
        <f>COUNTIF(Table2[Pass/Fail],"Pass")</f>
        <v>84</v>
      </c>
    </row>
    <row r="11" spans="1:16" x14ac:dyDescent="0.25">
      <c r="A11">
        <v>110</v>
      </c>
      <c r="B11" t="s">
        <v>21</v>
      </c>
      <c r="C11" t="s">
        <v>113</v>
      </c>
      <c r="D11">
        <v>23</v>
      </c>
      <c r="E11" t="s">
        <v>117</v>
      </c>
      <c r="F11" t="s">
        <v>125</v>
      </c>
      <c r="G11" t="s">
        <v>143</v>
      </c>
      <c r="H11">
        <v>44</v>
      </c>
      <c r="I11" t="s">
        <v>218</v>
      </c>
      <c r="J11" t="s">
        <v>112</v>
      </c>
      <c r="K11">
        <v>7</v>
      </c>
      <c r="L11" t="s">
        <v>262</v>
      </c>
      <c r="M11">
        <f xml:space="preserve"> (Table2[[#This Row],[Score]]/100) * 100</f>
        <v>44</v>
      </c>
      <c r="N11" t="str">
        <f>IF(Table2[[#This Row],[Score]]/100&gt;=0.5,"pass","fail")</f>
        <v>fail</v>
      </c>
      <c r="O11">
        <f ca="1">AVERAGEIF(B:B,Table2[[#This Row],[Name]],Table2[Score])</f>
        <v>48</v>
      </c>
      <c r="P11" s="2">
        <f>COUNTIF(Table2[Pass/Fail],"Pass")</f>
        <v>84</v>
      </c>
    </row>
    <row r="12" spans="1:16" x14ac:dyDescent="0.25">
      <c r="A12">
        <v>111</v>
      </c>
      <c r="B12" t="s">
        <v>22</v>
      </c>
      <c r="C12" t="s">
        <v>113</v>
      </c>
      <c r="D12">
        <v>22</v>
      </c>
      <c r="E12" t="s">
        <v>115</v>
      </c>
      <c r="F12" t="s">
        <v>126</v>
      </c>
      <c r="G12" t="s">
        <v>144</v>
      </c>
      <c r="H12">
        <v>48</v>
      </c>
      <c r="I12" t="s">
        <v>219</v>
      </c>
      <c r="J12" t="s">
        <v>112</v>
      </c>
      <c r="K12">
        <v>7</v>
      </c>
      <c r="L12" t="s">
        <v>263</v>
      </c>
      <c r="M12">
        <f xml:space="preserve"> (Table2[[#This Row],[Score]]/100) * 100</f>
        <v>48</v>
      </c>
      <c r="N12" t="str">
        <f>IF(Table2[[#This Row],[Score]]/100&gt;=0.5,"pass","fail")</f>
        <v>fail</v>
      </c>
      <c r="O12">
        <f ca="1">AVERAGEIF(B:B,Table2[[#This Row],[Name]],Table2[Score])</f>
        <v>72</v>
      </c>
      <c r="P12" s="2">
        <f>COUNTIF(Table2[Pass/Fail],"Pass")</f>
        <v>84</v>
      </c>
    </row>
    <row r="13" spans="1:16" x14ac:dyDescent="0.25">
      <c r="A13">
        <v>112</v>
      </c>
      <c r="B13" t="s">
        <v>23</v>
      </c>
      <c r="C13" t="s">
        <v>112</v>
      </c>
      <c r="D13">
        <v>19</v>
      </c>
      <c r="E13" t="s">
        <v>115</v>
      </c>
      <c r="F13" t="s">
        <v>127</v>
      </c>
      <c r="G13" t="s">
        <v>145</v>
      </c>
      <c r="H13">
        <v>72</v>
      </c>
      <c r="I13" t="s">
        <v>220</v>
      </c>
      <c r="J13" t="s">
        <v>242</v>
      </c>
      <c r="K13">
        <v>3</v>
      </c>
      <c r="L13" t="s">
        <v>264</v>
      </c>
      <c r="M13">
        <f xml:space="preserve"> (Table2[[#This Row],[Score]]/100) * 100</f>
        <v>72</v>
      </c>
      <c r="N13" t="str">
        <f>IF(Table2[[#This Row],[Score]]/100&gt;=0.5,"pass","fail")</f>
        <v>pass</v>
      </c>
      <c r="O13">
        <f ca="1">AVERAGEIF(B:B,Table2[[#This Row],[Name]],Table2[Score])</f>
        <v>64</v>
      </c>
      <c r="P13" s="2">
        <f>COUNTIF(Table2[Pass/Fail],"Pass")</f>
        <v>84</v>
      </c>
    </row>
    <row r="14" spans="1:16" x14ac:dyDescent="0.25">
      <c r="A14">
        <v>113</v>
      </c>
      <c r="B14" t="s">
        <v>24</v>
      </c>
      <c r="C14" t="s">
        <v>112</v>
      </c>
      <c r="D14">
        <v>25</v>
      </c>
      <c r="E14" t="s">
        <v>117</v>
      </c>
      <c r="F14" t="s">
        <v>128</v>
      </c>
      <c r="G14" t="s">
        <v>146</v>
      </c>
      <c r="H14">
        <v>64</v>
      </c>
      <c r="I14" t="s">
        <v>221</v>
      </c>
      <c r="J14" t="s">
        <v>243</v>
      </c>
      <c r="K14">
        <v>1</v>
      </c>
      <c r="L14" t="s">
        <v>265</v>
      </c>
      <c r="M14">
        <f xml:space="preserve"> (Table2[[#This Row],[Score]]/100) * 100</f>
        <v>64</v>
      </c>
      <c r="N14" t="str">
        <f>IF(Table2[[#This Row],[Score]]/100&gt;=0.5,"pass","fail")</f>
        <v>pass</v>
      </c>
      <c r="O14">
        <f ca="1">AVERAGEIF(B:B,Table2[[#This Row],[Name]],Table2[Score])</f>
        <v>47</v>
      </c>
      <c r="P14" s="2">
        <f>COUNTIF(Table2[Pass/Fail],"Pass")</f>
        <v>84</v>
      </c>
    </row>
    <row r="15" spans="1:16" x14ac:dyDescent="0.25">
      <c r="A15">
        <v>114</v>
      </c>
      <c r="B15" t="s">
        <v>25</v>
      </c>
      <c r="C15" t="s">
        <v>112</v>
      </c>
      <c r="D15">
        <v>24</v>
      </c>
      <c r="E15" t="s">
        <v>116</v>
      </c>
      <c r="F15" t="s">
        <v>121</v>
      </c>
      <c r="G15" t="s">
        <v>147</v>
      </c>
      <c r="H15">
        <v>47</v>
      </c>
      <c r="I15" t="s">
        <v>222</v>
      </c>
      <c r="J15" t="s">
        <v>112</v>
      </c>
      <c r="K15">
        <v>5</v>
      </c>
      <c r="L15" t="s">
        <v>266</v>
      </c>
      <c r="M15">
        <f xml:space="preserve"> (Table2[[#This Row],[Score]]/100) * 100</f>
        <v>47</v>
      </c>
      <c r="N15" t="str">
        <f>IF(Table2[[#This Row],[Score]]/100&gt;=0.5,"pass","fail")</f>
        <v>fail</v>
      </c>
      <c r="O15">
        <f ca="1">AVERAGEIF(B:B,Table2[[#This Row],[Name]],Table2[Score])</f>
        <v>95</v>
      </c>
      <c r="P15" s="2">
        <f>COUNTIF(Table2[Pass/Fail],"Pass")</f>
        <v>84</v>
      </c>
    </row>
    <row r="16" spans="1:16" x14ac:dyDescent="0.25">
      <c r="A16">
        <v>115</v>
      </c>
      <c r="B16" t="s">
        <v>26</v>
      </c>
      <c r="C16" t="s">
        <v>112</v>
      </c>
      <c r="D16">
        <v>21</v>
      </c>
      <c r="E16" t="s">
        <v>115</v>
      </c>
      <c r="F16" t="s">
        <v>122</v>
      </c>
      <c r="G16" t="s">
        <v>148</v>
      </c>
      <c r="H16">
        <v>95</v>
      </c>
      <c r="I16" t="s">
        <v>223</v>
      </c>
      <c r="J16" t="s">
        <v>241</v>
      </c>
      <c r="K16">
        <v>3</v>
      </c>
      <c r="L16" t="s">
        <v>267</v>
      </c>
      <c r="M16">
        <f xml:space="preserve"> (Table2[[#This Row],[Score]]/100) * 100</f>
        <v>95</v>
      </c>
      <c r="N16" t="str">
        <f>IF(Table2[[#This Row],[Score]]/100&gt;=0.5,"pass","fail")</f>
        <v>pass</v>
      </c>
      <c r="O16">
        <f ca="1">AVERAGEIF(B:B,Table2[[#This Row],[Name]],Table2[Score])</f>
        <v>71</v>
      </c>
      <c r="P16" s="2">
        <f>COUNTIF(Table2[Pass/Fail],"Pass")</f>
        <v>84</v>
      </c>
    </row>
    <row r="17" spans="1:16" x14ac:dyDescent="0.25">
      <c r="A17">
        <v>116</v>
      </c>
      <c r="B17" t="s">
        <v>27</v>
      </c>
      <c r="C17" t="s">
        <v>113</v>
      </c>
      <c r="D17">
        <v>19</v>
      </c>
      <c r="E17" t="s">
        <v>114</v>
      </c>
      <c r="F17" t="s">
        <v>129</v>
      </c>
      <c r="G17" t="s">
        <v>149</v>
      </c>
      <c r="H17">
        <v>71</v>
      </c>
      <c r="I17" t="s">
        <v>211</v>
      </c>
      <c r="J17" t="s">
        <v>242</v>
      </c>
      <c r="K17">
        <v>5</v>
      </c>
      <c r="L17" t="s">
        <v>268</v>
      </c>
      <c r="M17">
        <f xml:space="preserve"> (Table2[[#This Row],[Score]]/100) * 100</f>
        <v>71</v>
      </c>
      <c r="N17" t="str">
        <f>IF(Table2[[#This Row],[Score]]/100&gt;=0.5,"pass","fail")</f>
        <v>pass</v>
      </c>
      <c r="O17">
        <f ca="1">AVERAGEIF(B:B,Table2[[#This Row],[Name]],Table2[Score])</f>
        <v>96</v>
      </c>
      <c r="P17" s="2">
        <f>COUNTIF(Table2[Pass/Fail],"Pass")</f>
        <v>84</v>
      </c>
    </row>
    <row r="18" spans="1:16" x14ac:dyDescent="0.25">
      <c r="A18">
        <v>117</v>
      </c>
      <c r="B18" t="s">
        <v>28</v>
      </c>
      <c r="C18" t="s">
        <v>113</v>
      </c>
      <c r="D18">
        <v>19</v>
      </c>
      <c r="E18" t="s">
        <v>114</v>
      </c>
      <c r="F18" t="s">
        <v>130</v>
      </c>
      <c r="G18" t="s">
        <v>150</v>
      </c>
      <c r="H18">
        <v>96</v>
      </c>
      <c r="I18" t="s">
        <v>217</v>
      </c>
      <c r="J18" t="s">
        <v>241</v>
      </c>
      <c r="K18">
        <v>2</v>
      </c>
      <c r="L18" t="s">
        <v>269</v>
      </c>
      <c r="M18">
        <f xml:space="preserve"> (Table2[[#This Row],[Score]]/100) * 100</f>
        <v>96</v>
      </c>
      <c r="N18" t="str">
        <f>IF(Table2[[#This Row],[Score]]/100&gt;=0.5,"pass","fail")</f>
        <v>pass</v>
      </c>
      <c r="O18">
        <f ca="1">AVERAGEIF(B:B,Table2[[#This Row],[Name]],Table2[Score])</f>
        <v>82</v>
      </c>
      <c r="P18" s="2">
        <f>COUNTIF(Table2[Pass/Fail],"Pass")</f>
        <v>84</v>
      </c>
    </row>
    <row r="19" spans="1:16" x14ac:dyDescent="0.25">
      <c r="A19">
        <v>118</v>
      </c>
      <c r="B19" t="s">
        <v>29</v>
      </c>
      <c r="C19" t="s">
        <v>112</v>
      </c>
      <c r="D19">
        <v>20</v>
      </c>
      <c r="E19" t="s">
        <v>115</v>
      </c>
      <c r="F19" t="s">
        <v>127</v>
      </c>
      <c r="G19" t="s">
        <v>151</v>
      </c>
      <c r="H19">
        <v>82</v>
      </c>
      <c r="I19" t="s">
        <v>224</v>
      </c>
      <c r="J19" t="s">
        <v>240</v>
      </c>
      <c r="K19">
        <v>7</v>
      </c>
      <c r="L19" t="s">
        <v>270</v>
      </c>
      <c r="M19">
        <f xml:space="preserve"> (Table2[[#This Row],[Score]]/100) * 100</f>
        <v>82</v>
      </c>
      <c r="N19" t="str">
        <f>IF(Table2[[#This Row],[Score]]/100&gt;=0.5,"pass","fail")</f>
        <v>pass</v>
      </c>
      <c r="O19">
        <f ca="1">AVERAGEIF(B:B,Table2[[#This Row],[Name]],Table2[Score])</f>
        <v>65</v>
      </c>
      <c r="P19" s="2">
        <f>COUNTIF(Table2[Pass/Fail],"Pass")</f>
        <v>84</v>
      </c>
    </row>
    <row r="20" spans="1:16" x14ac:dyDescent="0.25">
      <c r="A20">
        <v>119</v>
      </c>
      <c r="B20" t="s">
        <v>30</v>
      </c>
      <c r="C20" t="s">
        <v>112</v>
      </c>
      <c r="D20">
        <v>25</v>
      </c>
      <c r="E20" t="s">
        <v>115</v>
      </c>
      <c r="F20" t="s">
        <v>126</v>
      </c>
      <c r="G20" t="s">
        <v>152</v>
      </c>
      <c r="H20">
        <v>65</v>
      </c>
      <c r="I20" t="s">
        <v>220</v>
      </c>
      <c r="J20" t="s">
        <v>243</v>
      </c>
      <c r="K20">
        <v>4</v>
      </c>
      <c r="L20" t="s">
        <v>271</v>
      </c>
      <c r="M20">
        <f xml:space="preserve"> (Table2[[#This Row],[Score]]/100) * 100</f>
        <v>65</v>
      </c>
      <c r="N20" t="str">
        <f>IF(Table2[[#This Row],[Score]]/100&gt;=0.5,"pass","fail")</f>
        <v>pass</v>
      </c>
      <c r="O20">
        <f ca="1">AVERAGEIF(B:B,Table2[[#This Row],[Name]],Table2[Score])</f>
        <v>41</v>
      </c>
      <c r="P20" s="2">
        <f>COUNTIF(Table2[Pass/Fail],"Pass")</f>
        <v>84</v>
      </c>
    </row>
    <row r="21" spans="1:16" x14ac:dyDescent="0.25">
      <c r="A21">
        <v>120</v>
      </c>
      <c r="B21" t="s">
        <v>31</v>
      </c>
      <c r="C21" t="s">
        <v>113</v>
      </c>
      <c r="D21">
        <v>21</v>
      </c>
      <c r="E21" t="s">
        <v>114</v>
      </c>
      <c r="F21" t="s">
        <v>129</v>
      </c>
      <c r="G21" t="s">
        <v>137</v>
      </c>
      <c r="H21">
        <v>41</v>
      </c>
      <c r="I21" t="s">
        <v>225</v>
      </c>
      <c r="J21" t="s">
        <v>112</v>
      </c>
      <c r="K21">
        <v>1</v>
      </c>
      <c r="L21" t="s">
        <v>272</v>
      </c>
      <c r="M21">
        <f xml:space="preserve"> (Table2[[#This Row],[Score]]/100) * 100</f>
        <v>41</v>
      </c>
      <c r="N21" t="str">
        <f>IF(Table2[[#This Row],[Score]]/100&gt;=0.5,"pass","fail")</f>
        <v>fail</v>
      </c>
      <c r="O21">
        <f ca="1">AVERAGEIF(B:B,Table2[[#This Row],[Name]],Table2[Score])</f>
        <v>95</v>
      </c>
      <c r="P21" s="2">
        <f>COUNTIF(Table2[Pass/Fail],"Pass")</f>
        <v>84</v>
      </c>
    </row>
    <row r="22" spans="1:16" x14ac:dyDescent="0.25">
      <c r="A22">
        <v>121</v>
      </c>
      <c r="B22" t="s">
        <v>32</v>
      </c>
      <c r="C22" t="s">
        <v>112</v>
      </c>
      <c r="D22">
        <v>19</v>
      </c>
      <c r="E22" t="s">
        <v>114</v>
      </c>
      <c r="F22" t="s">
        <v>118</v>
      </c>
      <c r="G22" t="s">
        <v>153</v>
      </c>
      <c r="H22">
        <v>95</v>
      </c>
      <c r="I22" t="s">
        <v>226</v>
      </c>
      <c r="J22" t="s">
        <v>241</v>
      </c>
      <c r="K22">
        <v>8</v>
      </c>
      <c r="L22" t="s">
        <v>273</v>
      </c>
      <c r="M22">
        <f xml:space="preserve"> (Table2[[#This Row],[Score]]/100) * 100</f>
        <v>95</v>
      </c>
      <c r="N22" t="str">
        <f>IF(Table2[[#This Row],[Score]]/100&gt;=0.5,"pass","fail")</f>
        <v>pass</v>
      </c>
      <c r="O22">
        <f ca="1">AVERAGEIF(B:B,Table2[[#This Row],[Name]],Table2[Score])</f>
        <v>55</v>
      </c>
      <c r="P22" s="2">
        <f>COUNTIF(Table2[Pass/Fail],"Pass")</f>
        <v>84</v>
      </c>
    </row>
    <row r="23" spans="1:16" x14ac:dyDescent="0.25">
      <c r="A23">
        <v>122</v>
      </c>
      <c r="B23" t="s">
        <v>33</v>
      </c>
      <c r="C23" t="s">
        <v>112</v>
      </c>
      <c r="D23">
        <v>24</v>
      </c>
      <c r="E23" t="s">
        <v>115</v>
      </c>
      <c r="F23" t="s">
        <v>120</v>
      </c>
      <c r="G23" t="s">
        <v>154</v>
      </c>
      <c r="H23">
        <v>55</v>
      </c>
      <c r="I23" t="s">
        <v>220</v>
      </c>
      <c r="J23" t="s">
        <v>112</v>
      </c>
      <c r="K23">
        <v>7</v>
      </c>
      <c r="L23" t="s">
        <v>274</v>
      </c>
      <c r="M23">
        <f xml:space="preserve"> (Table2[[#This Row],[Score]]/100) * 100</f>
        <v>55.000000000000007</v>
      </c>
      <c r="N23" t="str">
        <f>IF(Table2[[#This Row],[Score]]/100&gt;=0.5,"pass","fail")</f>
        <v>pass</v>
      </c>
      <c r="O23">
        <f ca="1">AVERAGEIF(B:B,Table2[[#This Row],[Name]],Table2[Score])</f>
        <v>69</v>
      </c>
      <c r="P23" s="2">
        <f>COUNTIF(Table2[Pass/Fail],"Pass")</f>
        <v>84</v>
      </c>
    </row>
    <row r="24" spans="1:16" x14ac:dyDescent="0.25">
      <c r="A24">
        <v>123</v>
      </c>
      <c r="B24" t="s">
        <v>34</v>
      </c>
      <c r="C24" t="s">
        <v>113</v>
      </c>
      <c r="D24">
        <v>19</v>
      </c>
      <c r="E24" t="s">
        <v>117</v>
      </c>
      <c r="F24" t="s">
        <v>124</v>
      </c>
      <c r="G24" t="s">
        <v>155</v>
      </c>
      <c r="H24">
        <v>69</v>
      </c>
      <c r="I24" t="s">
        <v>209</v>
      </c>
      <c r="J24" t="s">
        <v>243</v>
      </c>
      <c r="K24">
        <v>6</v>
      </c>
      <c r="L24" t="s">
        <v>275</v>
      </c>
      <c r="M24">
        <f xml:space="preserve"> (Table2[[#This Row],[Score]]/100) * 100</f>
        <v>69</v>
      </c>
      <c r="N24" t="str">
        <f>IF(Table2[[#This Row],[Score]]/100&gt;=0.5,"pass","fail")</f>
        <v>pass</v>
      </c>
      <c r="O24">
        <f ca="1">AVERAGEIF(B:B,Table2[[#This Row],[Name]],Table2[Score])</f>
        <v>52</v>
      </c>
      <c r="P24" s="2">
        <f>COUNTIF(Table2[Pass/Fail],"Pass")</f>
        <v>84</v>
      </c>
    </row>
    <row r="25" spans="1:16" x14ac:dyDescent="0.25">
      <c r="A25">
        <v>124</v>
      </c>
      <c r="B25" t="s">
        <v>35</v>
      </c>
      <c r="C25" t="s">
        <v>112</v>
      </c>
      <c r="D25">
        <v>20</v>
      </c>
      <c r="E25" t="s">
        <v>115</v>
      </c>
      <c r="F25" t="s">
        <v>127</v>
      </c>
      <c r="G25" t="s">
        <v>156</v>
      </c>
      <c r="H25">
        <v>52</v>
      </c>
      <c r="I25" t="s">
        <v>226</v>
      </c>
      <c r="J25" t="s">
        <v>112</v>
      </c>
      <c r="K25">
        <v>8</v>
      </c>
      <c r="L25" t="s">
        <v>276</v>
      </c>
      <c r="M25">
        <f xml:space="preserve"> (Table2[[#This Row],[Score]]/100) * 100</f>
        <v>52</v>
      </c>
      <c r="N25" t="str">
        <f>IF(Table2[[#This Row],[Score]]/100&gt;=0.5,"pass","fail")</f>
        <v>pass</v>
      </c>
      <c r="O25">
        <f ca="1">AVERAGEIF(B:B,Table2[[#This Row],[Name]],Table2[Score])</f>
        <v>91</v>
      </c>
      <c r="P25" s="2">
        <f>COUNTIF(Table2[Pass/Fail],"Pass")</f>
        <v>84</v>
      </c>
    </row>
    <row r="26" spans="1:16" x14ac:dyDescent="0.25">
      <c r="A26">
        <v>125</v>
      </c>
      <c r="B26" t="s">
        <v>36</v>
      </c>
      <c r="C26" t="s">
        <v>113</v>
      </c>
      <c r="D26">
        <v>18</v>
      </c>
      <c r="E26" t="s">
        <v>114</v>
      </c>
      <c r="F26" t="s">
        <v>119</v>
      </c>
      <c r="G26" t="s">
        <v>157</v>
      </c>
      <c r="H26">
        <v>91</v>
      </c>
      <c r="I26" t="s">
        <v>217</v>
      </c>
      <c r="J26" t="s">
        <v>241</v>
      </c>
      <c r="K26">
        <v>1</v>
      </c>
      <c r="L26" t="s">
        <v>277</v>
      </c>
      <c r="M26">
        <f xml:space="preserve"> (Table2[[#This Row],[Score]]/100) * 100</f>
        <v>91</v>
      </c>
      <c r="N26" t="str">
        <f>IF(Table2[[#This Row],[Score]]/100&gt;=0.5,"pass","fail")</f>
        <v>pass</v>
      </c>
      <c r="O26">
        <f ca="1">AVERAGEIF(B:B,Table2[[#This Row],[Name]],Table2[Score])</f>
        <v>66</v>
      </c>
      <c r="P26" s="2">
        <f>COUNTIF(Table2[Pass/Fail],"Pass")</f>
        <v>84</v>
      </c>
    </row>
    <row r="27" spans="1:16" x14ac:dyDescent="0.25">
      <c r="A27">
        <v>126</v>
      </c>
      <c r="B27" t="s">
        <v>37</v>
      </c>
      <c r="C27" t="s">
        <v>112</v>
      </c>
      <c r="D27">
        <v>25</v>
      </c>
      <c r="E27" t="s">
        <v>115</v>
      </c>
      <c r="F27" t="s">
        <v>127</v>
      </c>
      <c r="G27" t="s">
        <v>158</v>
      </c>
      <c r="H27">
        <v>66</v>
      </c>
      <c r="I27" t="s">
        <v>212</v>
      </c>
      <c r="J27" t="s">
        <v>243</v>
      </c>
      <c r="K27">
        <v>1</v>
      </c>
      <c r="L27" t="s">
        <v>278</v>
      </c>
      <c r="M27">
        <f xml:space="preserve"> (Table2[[#This Row],[Score]]/100) * 100</f>
        <v>66</v>
      </c>
      <c r="N27" t="str">
        <f>IF(Table2[[#This Row],[Score]]/100&gt;=0.5,"pass","fail")</f>
        <v>pass</v>
      </c>
      <c r="O27">
        <f ca="1">AVERAGEIF(B:B,Table2[[#This Row],[Name]],Table2[Score])</f>
        <v>64</v>
      </c>
      <c r="P27" s="2">
        <f>COUNTIF(Table2[Pass/Fail],"Pass")</f>
        <v>84</v>
      </c>
    </row>
    <row r="28" spans="1:16" x14ac:dyDescent="0.25">
      <c r="A28">
        <v>127</v>
      </c>
      <c r="B28" t="s">
        <v>38</v>
      </c>
      <c r="C28" t="s">
        <v>112</v>
      </c>
      <c r="D28">
        <v>25</v>
      </c>
      <c r="E28" t="s">
        <v>117</v>
      </c>
      <c r="F28" t="s">
        <v>128</v>
      </c>
      <c r="G28" t="s">
        <v>159</v>
      </c>
      <c r="H28">
        <v>64</v>
      </c>
      <c r="I28" t="s">
        <v>225</v>
      </c>
      <c r="J28" t="s">
        <v>243</v>
      </c>
      <c r="K28">
        <v>8</v>
      </c>
      <c r="L28" t="s">
        <v>279</v>
      </c>
      <c r="M28">
        <f xml:space="preserve"> (Table2[[#This Row],[Score]]/100) * 100</f>
        <v>64</v>
      </c>
      <c r="N28" t="str">
        <f>IF(Table2[[#This Row],[Score]]/100&gt;=0.5,"pass","fail")</f>
        <v>pass</v>
      </c>
      <c r="O28">
        <f ca="1">AVERAGEIF(B:B,Table2[[#This Row],[Name]],Table2[Score])</f>
        <v>53</v>
      </c>
      <c r="P28" s="2">
        <f>COUNTIF(Table2[Pass/Fail],"Pass")</f>
        <v>84</v>
      </c>
    </row>
    <row r="29" spans="1:16" x14ac:dyDescent="0.25">
      <c r="A29">
        <v>128</v>
      </c>
      <c r="B29" t="s">
        <v>39</v>
      </c>
      <c r="C29" t="s">
        <v>113</v>
      </c>
      <c r="D29">
        <v>18</v>
      </c>
      <c r="E29" t="s">
        <v>115</v>
      </c>
      <c r="F29" t="s">
        <v>126</v>
      </c>
      <c r="G29" t="s">
        <v>160</v>
      </c>
      <c r="H29">
        <v>53</v>
      </c>
      <c r="I29" t="s">
        <v>227</v>
      </c>
      <c r="J29" t="s">
        <v>112</v>
      </c>
      <c r="K29">
        <v>1</v>
      </c>
      <c r="L29" t="s">
        <v>280</v>
      </c>
      <c r="M29">
        <f xml:space="preserve"> (Table2[[#This Row],[Score]]/100) * 100</f>
        <v>53</v>
      </c>
      <c r="N29" t="str">
        <f>IF(Table2[[#This Row],[Score]]/100&gt;=0.5,"pass","fail")</f>
        <v>pass</v>
      </c>
      <c r="O29">
        <f ca="1">AVERAGEIF(B:B,Table2[[#This Row],[Name]],Table2[Score])</f>
        <v>43</v>
      </c>
      <c r="P29" s="2">
        <f>COUNTIF(Table2[Pass/Fail],"Pass")</f>
        <v>84</v>
      </c>
    </row>
    <row r="30" spans="1:16" x14ac:dyDescent="0.25">
      <c r="A30">
        <v>129</v>
      </c>
      <c r="B30" t="s">
        <v>40</v>
      </c>
      <c r="C30" t="s">
        <v>113</v>
      </c>
      <c r="D30">
        <v>20</v>
      </c>
      <c r="E30" t="s">
        <v>117</v>
      </c>
      <c r="F30" t="s">
        <v>131</v>
      </c>
      <c r="G30" t="s">
        <v>161</v>
      </c>
      <c r="H30">
        <v>43</v>
      </c>
      <c r="I30" t="s">
        <v>228</v>
      </c>
      <c r="J30" t="s">
        <v>112</v>
      </c>
      <c r="K30">
        <v>4</v>
      </c>
      <c r="L30" t="s">
        <v>281</v>
      </c>
      <c r="M30">
        <f xml:space="preserve"> (Table2[[#This Row],[Score]]/100) * 100</f>
        <v>43</v>
      </c>
      <c r="N30" t="str">
        <f>IF(Table2[[#This Row],[Score]]/100&gt;=0.5,"pass","fail")</f>
        <v>fail</v>
      </c>
      <c r="O30">
        <f ca="1">AVERAGEIF(B:B,Table2[[#This Row],[Name]],Table2[Score])</f>
        <v>77</v>
      </c>
      <c r="P30" s="2">
        <f>COUNTIF(Table2[Pass/Fail],"Pass")</f>
        <v>84</v>
      </c>
    </row>
    <row r="31" spans="1:16" x14ac:dyDescent="0.25">
      <c r="A31">
        <v>130</v>
      </c>
      <c r="B31" t="s">
        <v>41</v>
      </c>
      <c r="C31" t="s">
        <v>113</v>
      </c>
      <c r="D31">
        <v>19</v>
      </c>
      <c r="E31" t="s">
        <v>114</v>
      </c>
      <c r="F31" t="s">
        <v>130</v>
      </c>
      <c r="G31" t="s">
        <v>162</v>
      </c>
      <c r="H31">
        <v>77</v>
      </c>
      <c r="I31" t="s">
        <v>229</v>
      </c>
      <c r="J31" t="s">
        <v>242</v>
      </c>
      <c r="K31">
        <v>6</v>
      </c>
      <c r="L31" t="s">
        <v>282</v>
      </c>
      <c r="M31">
        <f xml:space="preserve"> (Table2[[#This Row],[Score]]/100) * 100</f>
        <v>77</v>
      </c>
      <c r="N31" t="str">
        <f>IF(Table2[[#This Row],[Score]]/100&gt;=0.5,"pass","fail")</f>
        <v>pass</v>
      </c>
      <c r="O31">
        <f ca="1">AVERAGEIF(B:B,Table2[[#This Row],[Name]],Table2[Score])</f>
        <v>55</v>
      </c>
      <c r="P31" s="2">
        <f>COUNTIF(Table2[Pass/Fail],"Pass")</f>
        <v>84</v>
      </c>
    </row>
    <row r="32" spans="1:16" x14ac:dyDescent="0.25">
      <c r="A32">
        <v>131</v>
      </c>
      <c r="B32" t="s">
        <v>42</v>
      </c>
      <c r="C32" t="s">
        <v>112</v>
      </c>
      <c r="D32">
        <v>24</v>
      </c>
      <c r="E32" t="s">
        <v>115</v>
      </c>
      <c r="F32" t="s">
        <v>126</v>
      </c>
      <c r="G32" t="s">
        <v>163</v>
      </c>
      <c r="H32">
        <v>55</v>
      </c>
      <c r="I32" t="s">
        <v>230</v>
      </c>
      <c r="J32" t="s">
        <v>112</v>
      </c>
      <c r="K32">
        <v>5</v>
      </c>
      <c r="L32" t="s">
        <v>283</v>
      </c>
      <c r="M32">
        <f xml:space="preserve"> (Table2[[#This Row],[Score]]/100) * 100</f>
        <v>55.000000000000007</v>
      </c>
      <c r="N32" t="str">
        <f>IF(Table2[[#This Row],[Score]]/100&gt;=0.5,"pass","fail")</f>
        <v>pass</v>
      </c>
      <c r="O32">
        <f ca="1">AVERAGEIF(B:B,Table2[[#This Row],[Name]],Table2[Score])</f>
        <v>40</v>
      </c>
      <c r="P32" s="2">
        <f>COUNTIF(Table2[Pass/Fail],"Pass")</f>
        <v>84</v>
      </c>
    </row>
    <row r="33" spans="1:16" x14ac:dyDescent="0.25">
      <c r="A33">
        <v>132</v>
      </c>
      <c r="B33" t="s">
        <v>43</v>
      </c>
      <c r="C33" t="s">
        <v>112</v>
      </c>
      <c r="D33">
        <v>19</v>
      </c>
      <c r="E33" t="s">
        <v>116</v>
      </c>
      <c r="F33" t="s">
        <v>132</v>
      </c>
      <c r="G33" t="s">
        <v>164</v>
      </c>
      <c r="H33">
        <v>40</v>
      </c>
      <c r="I33" t="s">
        <v>231</v>
      </c>
      <c r="J33" t="s">
        <v>112</v>
      </c>
      <c r="K33">
        <v>5</v>
      </c>
      <c r="L33" t="s">
        <v>284</v>
      </c>
      <c r="M33">
        <f xml:space="preserve"> (Table2[[#This Row],[Score]]/100) * 100</f>
        <v>40</v>
      </c>
      <c r="N33" t="str">
        <f>IF(Table2[[#This Row],[Score]]/100&gt;=0.5,"pass","fail")</f>
        <v>fail</v>
      </c>
      <c r="O33">
        <f ca="1">AVERAGEIF(B:B,Table2[[#This Row],[Name]],Table2[Score])</f>
        <v>96</v>
      </c>
      <c r="P33" s="2">
        <f>COUNTIF(Table2[Pass/Fail],"Pass")</f>
        <v>84</v>
      </c>
    </row>
    <row r="34" spans="1:16" x14ac:dyDescent="0.25">
      <c r="A34">
        <v>133</v>
      </c>
      <c r="B34" t="s">
        <v>44</v>
      </c>
      <c r="C34" t="s">
        <v>113</v>
      </c>
      <c r="D34">
        <v>23</v>
      </c>
      <c r="E34" t="s">
        <v>116</v>
      </c>
      <c r="F34" t="s">
        <v>132</v>
      </c>
      <c r="G34" t="s">
        <v>165</v>
      </c>
      <c r="H34">
        <v>96</v>
      </c>
      <c r="I34" t="s">
        <v>232</v>
      </c>
      <c r="J34" t="s">
        <v>241</v>
      </c>
      <c r="K34">
        <v>5</v>
      </c>
      <c r="L34" t="s">
        <v>285</v>
      </c>
      <c r="M34">
        <f xml:space="preserve"> (Table2[[#This Row],[Score]]/100) * 100</f>
        <v>96</v>
      </c>
      <c r="N34" t="str">
        <f>IF(Table2[[#This Row],[Score]]/100&gt;=0.5,"pass","fail")</f>
        <v>pass</v>
      </c>
      <c r="O34">
        <f ca="1">AVERAGEIF(B:B,Table2[[#This Row],[Name]],Table2[Score])</f>
        <v>99</v>
      </c>
      <c r="P34" s="2">
        <f>COUNTIF(Table2[Pass/Fail],"Pass")</f>
        <v>84</v>
      </c>
    </row>
    <row r="35" spans="1:16" x14ac:dyDescent="0.25">
      <c r="A35">
        <v>134</v>
      </c>
      <c r="B35" t="s">
        <v>45</v>
      </c>
      <c r="C35" t="s">
        <v>113</v>
      </c>
      <c r="D35">
        <v>20</v>
      </c>
      <c r="E35" t="s">
        <v>114</v>
      </c>
      <c r="F35" t="s">
        <v>129</v>
      </c>
      <c r="G35" t="s">
        <v>166</v>
      </c>
      <c r="H35">
        <v>99</v>
      </c>
      <c r="I35" t="s">
        <v>233</v>
      </c>
      <c r="J35" t="s">
        <v>241</v>
      </c>
      <c r="K35">
        <v>2</v>
      </c>
      <c r="L35" t="s">
        <v>286</v>
      </c>
      <c r="M35">
        <f xml:space="preserve"> (Table2[[#This Row],[Score]]/100) * 100</f>
        <v>99</v>
      </c>
      <c r="N35" t="str">
        <f>IF(Table2[[#This Row],[Score]]/100&gt;=0.5,"pass","fail")</f>
        <v>pass</v>
      </c>
      <c r="O35">
        <f ca="1">AVERAGEIF(B:B,Table2[[#This Row],[Name]],Table2[Score])</f>
        <v>58</v>
      </c>
      <c r="P35" s="2">
        <f>COUNTIF(Table2[Pass/Fail],"Pass")</f>
        <v>84</v>
      </c>
    </row>
    <row r="36" spans="1:16" x14ac:dyDescent="0.25">
      <c r="A36">
        <v>135</v>
      </c>
      <c r="B36" t="s">
        <v>46</v>
      </c>
      <c r="C36" t="s">
        <v>113</v>
      </c>
      <c r="D36">
        <v>23</v>
      </c>
      <c r="E36" t="s">
        <v>115</v>
      </c>
      <c r="F36" t="s">
        <v>126</v>
      </c>
      <c r="G36" t="s">
        <v>163</v>
      </c>
      <c r="H36">
        <v>58</v>
      </c>
      <c r="I36" t="s">
        <v>230</v>
      </c>
      <c r="J36" t="s">
        <v>112</v>
      </c>
      <c r="K36">
        <v>5</v>
      </c>
      <c r="L36" t="s">
        <v>287</v>
      </c>
      <c r="M36">
        <f xml:space="preserve"> (Table2[[#This Row],[Score]]/100) * 100</f>
        <v>57.999999999999993</v>
      </c>
      <c r="N36" t="str">
        <f>IF(Table2[[#This Row],[Score]]/100&gt;=0.5,"pass","fail")</f>
        <v>pass</v>
      </c>
      <c r="O36">
        <f ca="1">AVERAGEIF(B:B,Table2[[#This Row],[Name]],Table2[Score])</f>
        <v>97</v>
      </c>
      <c r="P36" s="2">
        <f>COUNTIF(Table2[Pass/Fail],"Pass")</f>
        <v>84</v>
      </c>
    </row>
    <row r="37" spans="1:16" x14ac:dyDescent="0.25">
      <c r="A37">
        <v>136</v>
      </c>
      <c r="B37" t="s">
        <v>47</v>
      </c>
      <c r="C37" t="s">
        <v>113</v>
      </c>
      <c r="D37">
        <v>19</v>
      </c>
      <c r="E37" t="s">
        <v>117</v>
      </c>
      <c r="F37" t="s">
        <v>125</v>
      </c>
      <c r="G37" t="s">
        <v>167</v>
      </c>
      <c r="H37">
        <v>97</v>
      </c>
      <c r="I37" t="s">
        <v>217</v>
      </c>
      <c r="J37" t="s">
        <v>241</v>
      </c>
      <c r="K37">
        <v>5</v>
      </c>
      <c r="L37" t="s">
        <v>288</v>
      </c>
      <c r="M37">
        <f xml:space="preserve"> (Table2[[#This Row],[Score]]/100) * 100</f>
        <v>97</v>
      </c>
      <c r="N37" t="str">
        <f>IF(Table2[[#This Row],[Score]]/100&gt;=0.5,"pass","fail")</f>
        <v>pass</v>
      </c>
      <c r="O37">
        <f ca="1">AVERAGEIF(B:B,Table2[[#This Row],[Name]],Table2[Score])</f>
        <v>89</v>
      </c>
      <c r="P37" s="2">
        <f>COUNTIF(Table2[Pass/Fail],"Pass")</f>
        <v>84</v>
      </c>
    </row>
    <row r="38" spans="1:16" x14ac:dyDescent="0.25">
      <c r="A38">
        <v>137</v>
      </c>
      <c r="B38" t="s">
        <v>48</v>
      </c>
      <c r="C38" t="s">
        <v>113</v>
      </c>
      <c r="D38">
        <v>22</v>
      </c>
      <c r="E38" t="s">
        <v>114</v>
      </c>
      <c r="F38" t="s">
        <v>129</v>
      </c>
      <c r="G38" t="s">
        <v>168</v>
      </c>
      <c r="H38">
        <v>89</v>
      </c>
      <c r="I38" t="s">
        <v>232</v>
      </c>
      <c r="J38" t="s">
        <v>240</v>
      </c>
      <c r="K38">
        <v>7</v>
      </c>
      <c r="L38" t="s">
        <v>289</v>
      </c>
      <c r="M38">
        <f xml:space="preserve"> (Table2[[#This Row],[Score]]/100) * 100</f>
        <v>89</v>
      </c>
      <c r="N38" t="str">
        <f>IF(Table2[[#This Row],[Score]]/100&gt;=0.5,"pass","fail")</f>
        <v>pass</v>
      </c>
      <c r="O38">
        <f ca="1">AVERAGEIF(B:B,Table2[[#This Row],[Name]],Table2[Score])</f>
        <v>44</v>
      </c>
      <c r="P38" s="2">
        <f>COUNTIF(Table2[Pass/Fail],"Pass")</f>
        <v>84</v>
      </c>
    </row>
    <row r="39" spans="1:16" x14ac:dyDescent="0.25">
      <c r="A39">
        <v>138</v>
      </c>
      <c r="B39" t="s">
        <v>49</v>
      </c>
      <c r="C39" t="s">
        <v>113</v>
      </c>
      <c r="D39">
        <v>18</v>
      </c>
      <c r="E39" t="s">
        <v>114</v>
      </c>
      <c r="F39" t="s">
        <v>118</v>
      </c>
      <c r="G39" t="s">
        <v>169</v>
      </c>
      <c r="H39">
        <v>44</v>
      </c>
      <c r="I39" t="s">
        <v>221</v>
      </c>
      <c r="J39" t="s">
        <v>112</v>
      </c>
      <c r="K39">
        <v>3</v>
      </c>
      <c r="L39" t="s">
        <v>290</v>
      </c>
      <c r="M39">
        <f xml:space="preserve"> (Table2[[#This Row],[Score]]/100) * 100</f>
        <v>44</v>
      </c>
      <c r="N39" t="str">
        <f>IF(Table2[[#This Row],[Score]]/100&gt;=0.5,"pass","fail")</f>
        <v>fail</v>
      </c>
      <c r="O39">
        <f ca="1">AVERAGEIF(B:B,Table2[[#This Row],[Name]],Table2[Score])</f>
        <v>59</v>
      </c>
      <c r="P39" s="2">
        <f>COUNTIF(Table2[Pass/Fail],"Pass")</f>
        <v>84</v>
      </c>
    </row>
    <row r="40" spans="1:16" x14ac:dyDescent="0.25">
      <c r="A40">
        <v>139</v>
      </c>
      <c r="B40" t="s">
        <v>50</v>
      </c>
      <c r="C40" t="s">
        <v>112</v>
      </c>
      <c r="D40">
        <v>18</v>
      </c>
      <c r="E40" t="s">
        <v>115</v>
      </c>
      <c r="F40" t="s">
        <v>122</v>
      </c>
      <c r="G40" t="s">
        <v>170</v>
      </c>
      <c r="H40">
        <v>59</v>
      </c>
      <c r="I40" t="s">
        <v>234</v>
      </c>
      <c r="J40" t="s">
        <v>112</v>
      </c>
      <c r="K40">
        <v>4</v>
      </c>
      <c r="L40" t="s">
        <v>291</v>
      </c>
      <c r="M40">
        <f xml:space="preserve"> (Table2[[#This Row],[Score]]/100) * 100</f>
        <v>59</v>
      </c>
      <c r="N40" t="str">
        <f>IF(Table2[[#This Row],[Score]]/100&gt;=0.5,"pass","fail")</f>
        <v>pass</v>
      </c>
      <c r="O40">
        <f ca="1">AVERAGEIF(B:B,Table2[[#This Row],[Name]],Table2[Score])</f>
        <v>79</v>
      </c>
      <c r="P40" s="2">
        <f>COUNTIF(Table2[Pass/Fail],"Pass")</f>
        <v>84</v>
      </c>
    </row>
    <row r="41" spans="1:16" x14ac:dyDescent="0.25">
      <c r="A41">
        <v>140</v>
      </c>
      <c r="B41" t="s">
        <v>51</v>
      </c>
      <c r="C41" t="s">
        <v>113</v>
      </c>
      <c r="D41">
        <v>21</v>
      </c>
      <c r="E41" t="s">
        <v>116</v>
      </c>
      <c r="F41" t="s">
        <v>133</v>
      </c>
      <c r="G41" t="s">
        <v>171</v>
      </c>
      <c r="H41">
        <v>79</v>
      </c>
      <c r="I41" t="s">
        <v>211</v>
      </c>
      <c r="J41" t="s">
        <v>242</v>
      </c>
      <c r="K41">
        <v>3</v>
      </c>
      <c r="L41" t="s">
        <v>292</v>
      </c>
      <c r="M41">
        <f xml:space="preserve"> (Table2[[#This Row],[Score]]/100) * 100</f>
        <v>79</v>
      </c>
      <c r="N41" t="str">
        <f>IF(Table2[[#This Row],[Score]]/100&gt;=0.5,"pass","fail")</f>
        <v>pass</v>
      </c>
      <c r="O41">
        <f ca="1">AVERAGEIF(B:B,Table2[[#This Row],[Name]],Table2[Score])</f>
        <v>87</v>
      </c>
      <c r="P41" s="2">
        <f>COUNTIF(Table2[Pass/Fail],"Pass")</f>
        <v>84</v>
      </c>
    </row>
    <row r="42" spans="1:16" x14ac:dyDescent="0.25">
      <c r="A42">
        <v>141</v>
      </c>
      <c r="B42" t="s">
        <v>52</v>
      </c>
      <c r="C42" t="s">
        <v>112</v>
      </c>
      <c r="D42">
        <v>24</v>
      </c>
      <c r="E42" t="s">
        <v>114</v>
      </c>
      <c r="F42" t="s">
        <v>130</v>
      </c>
      <c r="G42" t="s">
        <v>172</v>
      </c>
      <c r="H42">
        <v>87</v>
      </c>
      <c r="I42" t="s">
        <v>209</v>
      </c>
      <c r="J42" t="s">
        <v>240</v>
      </c>
      <c r="K42">
        <v>4</v>
      </c>
      <c r="L42" t="s">
        <v>293</v>
      </c>
      <c r="M42">
        <f xml:space="preserve"> (Table2[[#This Row],[Score]]/100) * 100</f>
        <v>87</v>
      </c>
      <c r="N42" t="str">
        <f>IF(Table2[[#This Row],[Score]]/100&gt;=0.5,"pass","fail")</f>
        <v>pass</v>
      </c>
      <c r="O42">
        <f ca="1">AVERAGEIF(B:B,Table2[[#This Row],[Name]],Table2[Score])</f>
        <v>64</v>
      </c>
      <c r="P42" s="2">
        <f>COUNTIF(Table2[Pass/Fail],"Pass")</f>
        <v>84</v>
      </c>
    </row>
    <row r="43" spans="1:16" x14ac:dyDescent="0.25">
      <c r="A43">
        <v>142</v>
      </c>
      <c r="B43" t="s">
        <v>53</v>
      </c>
      <c r="C43" t="s">
        <v>113</v>
      </c>
      <c r="D43">
        <v>25</v>
      </c>
      <c r="E43" t="s">
        <v>115</v>
      </c>
      <c r="F43" t="s">
        <v>122</v>
      </c>
      <c r="G43" t="s">
        <v>173</v>
      </c>
      <c r="H43">
        <v>64</v>
      </c>
      <c r="I43" t="s">
        <v>217</v>
      </c>
      <c r="J43" t="s">
        <v>243</v>
      </c>
      <c r="K43">
        <v>8</v>
      </c>
      <c r="L43" t="s">
        <v>294</v>
      </c>
      <c r="M43">
        <f xml:space="preserve"> (Table2[[#This Row],[Score]]/100) * 100</f>
        <v>64</v>
      </c>
      <c r="N43" t="str">
        <f>IF(Table2[[#This Row],[Score]]/100&gt;=0.5,"pass","fail")</f>
        <v>pass</v>
      </c>
      <c r="O43">
        <f ca="1">AVERAGEIF(B:B,Table2[[#This Row],[Name]],Table2[Score])</f>
        <v>54</v>
      </c>
      <c r="P43" s="2">
        <f>COUNTIF(Table2[Pass/Fail],"Pass")</f>
        <v>84</v>
      </c>
    </row>
    <row r="44" spans="1:16" x14ac:dyDescent="0.25">
      <c r="A44">
        <v>143</v>
      </c>
      <c r="B44" t="s">
        <v>54</v>
      </c>
      <c r="C44" t="s">
        <v>113</v>
      </c>
      <c r="D44">
        <v>21</v>
      </c>
      <c r="E44" t="s">
        <v>116</v>
      </c>
      <c r="F44" t="s">
        <v>123</v>
      </c>
      <c r="G44" t="s">
        <v>174</v>
      </c>
      <c r="H44">
        <v>54</v>
      </c>
      <c r="I44" t="s">
        <v>226</v>
      </c>
      <c r="J44" t="s">
        <v>112</v>
      </c>
      <c r="K44">
        <v>2</v>
      </c>
      <c r="L44" t="s">
        <v>295</v>
      </c>
      <c r="M44">
        <f xml:space="preserve"> (Table2[[#This Row],[Score]]/100) * 100</f>
        <v>54</v>
      </c>
      <c r="N44" t="str">
        <f>IF(Table2[[#This Row],[Score]]/100&gt;=0.5,"pass","fail")</f>
        <v>pass</v>
      </c>
      <c r="O44">
        <f ca="1">AVERAGEIF(B:B,Table2[[#This Row],[Name]],Table2[Score])</f>
        <v>83</v>
      </c>
      <c r="P44" s="2">
        <f>COUNTIF(Table2[Pass/Fail],"Pass")</f>
        <v>84</v>
      </c>
    </row>
    <row r="45" spans="1:16" x14ac:dyDescent="0.25">
      <c r="A45">
        <v>144</v>
      </c>
      <c r="B45" t="s">
        <v>55</v>
      </c>
      <c r="C45" t="s">
        <v>112</v>
      </c>
      <c r="D45">
        <v>18</v>
      </c>
      <c r="E45" t="s">
        <v>116</v>
      </c>
      <c r="F45" t="s">
        <v>133</v>
      </c>
      <c r="G45" t="s">
        <v>175</v>
      </c>
      <c r="H45">
        <v>83</v>
      </c>
      <c r="I45" t="s">
        <v>216</v>
      </c>
      <c r="J45" t="s">
        <v>240</v>
      </c>
      <c r="K45">
        <v>5</v>
      </c>
      <c r="L45" t="s">
        <v>296</v>
      </c>
      <c r="M45">
        <f xml:space="preserve"> (Table2[[#This Row],[Score]]/100) * 100</f>
        <v>83</v>
      </c>
      <c r="N45" t="str">
        <f>IF(Table2[[#This Row],[Score]]/100&gt;=0.5,"pass","fail")</f>
        <v>pass</v>
      </c>
      <c r="O45">
        <f ca="1">AVERAGEIF(B:B,Table2[[#This Row],[Name]],Table2[Score])</f>
        <v>62</v>
      </c>
      <c r="P45" s="2">
        <f>COUNTIF(Table2[Pass/Fail],"Pass")</f>
        <v>84</v>
      </c>
    </row>
    <row r="46" spans="1:16" x14ac:dyDescent="0.25">
      <c r="A46">
        <v>145</v>
      </c>
      <c r="B46" t="s">
        <v>56</v>
      </c>
      <c r="C46" t="s">
        <v>112</v>
      </c>
      <c r="D46">
        <v>24</v>
      </c>
      <c r="E46" t="s">
        <v>114</v>
      </c>
      <c r="F46" t="s">
        <v>119</v>
      </c>
      <c r="G46" t="s">
        <v>176</v>
      </c>
      <c r="H46">
        <v>62</v>
      </c>
      <c r="I46" t="s">
        <v>220</v>
      </c>
      <c r="J46" t="s">
        <v>243</v>
      </c>
      <c r="K46">
        <v>7</v>
      </c>
      <c r="L46" t="s">
        <v>297</v>
      </c>
      <c r="M46">
        <f xml:space="preserve"> (Table2[[#This Row],[Score]]/100) * 100</f>
        <v>62</v>
      </c>
      <c r="N46" t="str">
        <f>IF(Table2[[#This Row],[Score]]/100&gt;=0.5,"pass","fail")</f>
        <v>pass</v>
      </c>
      <c r="O46">
        <f ca="1">AVERAGEIF(B:B,Table2[[#This Row],[Name]],Table2[Score])</f>
        <v>42</v>
      </c>
      <c r="P46" s="2">
        <f>COUNTIF(Table2[Pass/Fail],"Pass")</f>
        <v>84</v>
      </c>
    </row>
    <row r="47" spans="1:16" x14ac:dyDescent="0.25">
      <c r="A47">
        <v>146</v>
      </c>
      <c r="B47" t="s">
        <v>57</v>
      </c>
      <c r="C47" t="s">
        <v>112</v>
      </c>
      <c r="D47">
        <v>18</v>
      </c>
      <c r="E47" t="s">
        <v>115</v>
      </c>
      <c r="F47" t="s">
        <v>126</v>
      </c>
      <c r="G47" t="s">
        <v>177</v>
      </c>
      <c r="H47">
        <v>42</v>
      </c>
      <c r="I47" t="s">
        <v>221</v>
      </c>
      <c r="J47" t="s">
        <v>112</v>
      </c>
      <c r="K47">
        <v>4</v>
      </c>
      <c r="L47" t="s">
        <v>298</v>
      </c>
      <c r="M47">
        <f xml:space="preserve"> (Table2[[#This Row],[Score]]/100) * 100</f>
        <v>42</v>
      </c>
      <c r="N47" t="str">
        <f>IF(Table2[[#This Row],[Score]]/100&gt;=0.5,"pass","fail")</f>
        <v>fail</v>
      </c>
      <c r="O47">
        <f ca="1">AVERAGEIF(B:B,Table2[[#This Row],[Name]],Table2[Score])</f>
        <v>100</v>
      </c>
      <c r="P47" s="2">
        <f>COUNTIF(Table2[Pass/Fail],"Pass")</f>
        <v>84</v>
      </c>
    </row>
    <row r="48" spans="1:16" x14ac:dyDescent="0.25">
      <c r="A48">
        <v>147</v>
      </c>
      <c r="B48" t="s">
        <v>58</v>
      </c>
      <c r="C48" t="s">
        <v>112</v>
      </c>
      <c r="D48">
        <v>23</v>
      </c>
      <c r="E48" t="s">
        <v>117</v>
      </c>
      <c r="F48" t="s">
        <v>128</v>
      </c>
      <c r="G48" t="s">
        <v>172</v>
      </c>
      <c r="H48">
        <v>100</v>
      </c>
      <c r="I48" t="s">
        <v>220</v>
      </c>
      <c r="J48" t="s">
        <v>241</v>
      </c>
      <c r="K48">
        <v>5</v>
      </c>
      <c r="L48" t="s">
        <v>299</v>
      </c>
      <c r="M48">
        <f xml:space="preserve"> (Table2[[#This Row],[Score]]/100) * 100</f>
        <v>100</v>
      </c>
      <c r="N48" t="str">
        <f>IF(Table2[[#This Row],[Score]]/100&gt;=0.5,"pass","fail")</f>
        <v>pass</v>
      </c>
      <c r="O48">
        <f ca="1">AVERAGEIF(B:B,Table2[[#This Row],[Name]],Table2[Score])</f>
        <v>60</v>
      </c>
      <c r="P48" s="2">
        <f>COUNTIF(Table2[Pass/Fail],"Pass")</f>
        <v>84</v>
      </c>
    </row>
    <row r="49" spans="1:16" x14ac:dyDescent="0.25">
      <c r="A49">
        <v>148</v>
      </c>
      <c r="B49" t="s">
        <v>59</v>
      </c>
      <c r="C49" t="s">
        <v>112</v>
      </c>
      <c r="D49">
        <v>22</v>
      </c>
      <c r="E49" t="s">
        <v>116</v>
      </c>
      <c r="F49" t="s">
        <v>133</v>
      </c>
      <c r="G49" t="s">
        <v>178</v>
      </c>
      <c r="H49">
        <v>60</v>
      </c>
      <c r="I49" t="s">
        <v>231</v>
      </c>
      <c r="J49" t="s">
        <v>243</v>
      </c>
      <c r="K49">
        <v>7</v>
      </c>
      <c r="L49" t="s">
        <v>300</v>
      </c>
      <c r="M49">
        <f xml:space="preserve"> (Table2[[#This Row],[Score]]/100) * 100</f>
        <v>60</v>
      </c>
      <c r="N49" t="str">
        <f>IF(Table2[[#This Row],[Score]]/100&gt;=0.5,"pass","fail")</f>
        <v>pass</v>
      </c>
      <c r="O49">
        <f ca="1">AVERAGEIF(B:B,Table2[[#This Row],[Name]],Table2[Score])</f>
        <v>65</v>
      </c>
      <c r="P49" s="2">
        <f>COUNTIF(Table2[Pass/Fail],"Pass")</f>
        <v>84</v>
      </c>
    </row>
    <row r="50" spans="1:16" x14ac:dyDescent="0.25">
      <c r="A50">
        <v>149</v>
      </c>
      <c r="B50" t="s">
        <v>60</v>
      </c>
      <c r="C50" t="s">
        <v>113</v>
      </c>
      <c r="D50">
        <v>22</v>
      </c>
      <c r="E50" t="s">
        <v>115</v>
      </c>
      <c r="F50" t="s">
        <v>126</v>
      </c>
      <c r="G50" t="s">
        <v>170</v>
      </c>
      <c r="H50">
        <v>65</v>
      </c>
      <c r="I50" t="s">
        <v>219</v>
      </c>
      <c r="J50" t="s">
        <v>243</v>
      </c>
      <c r="K50">
        <v>6</v>
      </c>
      <c r="L50" t="s">
        <v>301</v>
      </c>
      <c r="M50">
        <f xml:space="preserve"> (Table2[[#This Row],[Score]]/100) * 100</f>
        <v>65</v>
      </c>
      <c r="N50" t="str">
        <f>IF(Table2[[#This Row],[Score]]/100&gt;=0.5,"pass","fail")</f>
        <v>pass</v>
      </c>
      <c r="O50">
        <f ca="1">AVERAGEIF(B:B,Table2[[#This Row],[Name]],Table2[Score])</f>
        <v>83</v>
      </c>
      <c r="P50" s="2">
        <f>COUNTIF(Table2[Pass/Fail],"Pass")</f>
        <v>84</v>
      </c>
    </row>
    <row r="51" spans="1:16" x14ac:dyDescent="0.25">
      <c r="A51">
        <v>150</v>
      </c>
      <c r="B51" t="s">
        <v>61</v>
      </c>
      <c r="C51" t="s">
        <v>113</v>
      </c>
      <c r="D51">
        <v>25</v>
      </c>
      <c r="E51" t="s">
        <v>117</v>
      </c>
      <c r="F51" t="s">
        <v>124</v>
      </c>
      <c r="G51" t="s">
        <v>179</v>
      </c>
      <c r="H51">
        <v>83</v>
      </c>
      <c r="I51" t="s">
        <v>234</v>
      </c>
      <c r="J51" t="s">
        <v>240</v>
      </c>
      <c r="K51">
        <v>2</v>
      </c>
      <c r="L51" t="s">
        <v>302</v>
      </c>
      <c r="M51">
        <f xml:space="preserve"> (Table2[[#This Row],[Score]]/100) * 100</f>
        <v>83</v>
      </c>
      <c r="N51" t="str">
        <f>IF(Table2[[#This Row],[Score]]/100&gt;=0.5,"pass","fail")</f>
        <v>pass</v>
      </c>
      <c r="O51">
        <f ca="1">AVERAGEIF(B:B,Table2[[#This Row],[Name]],Table2[Score])</f>
        <v>92</v>
      </c>
      <c r="P51" s="2">
        <f>COUNTIF(Table2[Pass/Fail],"Pass")</f>
        <v>84</v>
      </c>
    </row>
    <row r="52" spans="1:16" x14ac:dyDescent="0.25">
      <c r="A52">
        <v>151</v>
      </c>
      <c r="B52" t="s">
        <v>62</v>
      </c>
      <c r="C52" t="s">
        <v>113</v>
      </c>
      <c r="D52">
        <v>22</v>
      </c>
      <c r="E52" t="s">
        <v>116</v>
      </c>
      <c r="F52" t="s">
        <v>132</v>
      </c>
      <c r="G52" t="s">
        <v>171</v>
      </c>
      <c r="H52">
        <v>92</v>
      </c>
      <c r="I52" t="s">
        <v>231</v>
      </c>
      <c r="J52" t="s">
        <v>241</v>
      </c>
      <c r="K52">
        <v>3</v>
      </c>
      <c r="L52" t="s">
        <v>303</v>
      </c>
      <c r="M52">
        <f xml:space="preserve"> (Table2[[#This Row],[Score]]/100) * 100</f>
        <v>92</v>
      </c>
      <c r="N52" t="str">
        <f>IF(Table2[[#This Row],[Score]]/100&gt;=0.5,"pass","fail")</f>
        <v>pass</v>
      </c>
      <c r="O52">
        <f ca="1">AVERAGEIF(B:B,Table2[[#This Row],[Name]],Table2[Score])</f>
        <v>70</v>
      </c>
      <c r="P52" s="2">
        <f>COUNTIF(Table2[Pass/Fail],"Pass")</f>
        <v>84</v>
      </c>
    </row>
    <row r="53" spans="1:16" x14ac:dyDescent="0.25">
      <c r="A53">
        <v>152</v>
      </c>
      <c r="B53" t="s">
        <v>63</v>
      </c>
      <c r="C53" t="s">
        <v>113</v>
      </c>
      <c r="D53">
        <v>25</v>
      </c>
      <c r="E53" t="s">
        <v>114</v>
      </c>
      <c r="F53" t="s">
        <v>130</v>
      </c>
      <c r="G53" t="s">
        <v>180</v>
      </c>
      <c r="H53">
        <v>70</v>
      </c>
      <c r="I53" t="s">
        <v>229</v>
      </c>
      <c r="J53" t="s">
        <v>242</v>
      </c>
      <c r="K53">
        <v>4</v>
      </c>
      <c r="L53" t="s">
        <v>304</v>
      </c>
      <c r="M53">
        <f xml:space="preserve"> (Table2[[#This Row],[Score]]/100) * 100</f>
        <v>70</v>
      </c>
      <c r="N53" t="str">
        <f>IF(Table2[[#This Row],[Score]]/100&gt;=0.5,"pass","fail")</f>
        <v>pass</v>
      </c>
      <c r="O53">
        <f ca="1">AVERAGEIF(B:B,Table2[[#This Row],[Name]],Table2[Score])</f>
        <v>55</v>
      </c>
      <c r="P53" s="2">
        <f>COUNTIF(Table2[Pass/Fail],"Pass")</f>
        <v>84</v>
      </c>
    </row>
    <row r="54" spans="1:16" x14ac:dyDescent="0.25">
      <c r="A54">
        <v>153</v>
      </c>
      <c r="B54" t="s">
        <v>64</v>
      </c>
      <c r="C54" t="s">
        <v>113</v>
      </c>
      <c r="D54">
        <v>18</v>
      </c>
      <c r="E54" t="s">
        <v>117</v>
      </c>
      <c r="F54" t="s">
        <v>124</v>
      </c>
      <c r="G54" t="s">
        <v>136</v>
      </c>
      <c r="H54">
        <v>55</v>
      </c>
      <c r="I54" t="s">
        <v>219</v>
      </c>
      <c r="J54" t="s">
        <v>112</v>
      </c>
      <c r="K54">
        <v>4</v>
      </c>
      <c r="L54" t="s">
        <v>305</v>
      </c>
      <c r="M54">
        <f xml:space="preserve"> (Table2[[#This Row],[Score]]/100) * 100</f>
        <v>55.000000000000007</v>
      </c>
      <c r="N54" t="str">
        <f>IF(Table2[[#This Row],[Score]]/100&gt;=0.5,"pass","fail")</f>
        <v>pass</v>
      </c>
      <c r="O54">
        <f ca="1">AVERAGEIF(B:B,Table2[[#This Row],[Name]],Table2[Score])</f>
        <v>75</v>
      </c>
      <c r="P54" s="2">
        <f>COUNTIF(Table2[Pass/Fail],"Pass")</f>
        <v>84</v>
      </c>
    </row>
    <row r="55" spans="1:16" x14ac:dyDescent="0.25">
      <c r="A55">
        <v>154</v>
      </c>
      <c r="B55" t="s">
        <v>65</v>
      </c>
      <c r="C55" t="s">
        <v>113</v>
      </c>
      <c r="D55">
        <v>19</v>
      </c>
      <c r="E55" t="s">
        <v>117</v>
      </c>
      <c r="F55" t="s">
        <v>128</v>
      </c>
      <c r="G55" t="s">
        <v>181</v>
      </c>
      <c r="H55">
        <v>75</v>
      </c>
      <c r="I55" t="s">
        <v>211</v>
      </c>
      <c r="J55" t="s">
        <v>242</v>
      </c>
      <c r="K55">
        <v>8</v>
      </c>
      <c r="L55" t="s">
        <v>306</v>
      </c>
      <c r="M55">
        <f xml:space="preserve"> (Table2[[#This Row],[Score]]/100) * 100</f>
        <v>75</v>
      </c>
      <c r="N55" t="str">
        <f>IF(Table2[[#This Row],[Score]]/100&gt;=0.5,"pass","fail")</f>
        <v>pass</v>
      </c>
      <c r="O55">
        <f ca="1">AVERAGEIF(B:B,Table2[[#This Row],[Name]],Table2[Score])</f>
        <v>79</v>
      </c>
      <c r="P55" s="2">
        <f>COUNTIF(Table2[Pass/Fail],"Pass")</f>
        <v>84</v>
      </c>
    </row>
    <row r="56" spans="1:16" x14ac:dyDescent="0.25">
      <c r="A56">
        <v>155</v>
      </c>
      <c r="B56" t="s">
        <v>66</v>
      </c>
      <c r="C56" t="s">
        <v>112</v>
      </c>
      <c r="D56">
        <v>25</v>
      </c>
      <c r="E56" t="s">
        <v>116</v>
      </c>
      <c r="F56" t="s">
        <v>133</v>
      </c>
      <c r="G56" t="s">
        <v>168</v>
      </c>
      <c r="H56">
        <v>79</v>
      </c>
      <c r="I56" t="s">
        <v>224</v>
      </c>
      <c r="J56" t="s">
        <v>242</v>
      </c>
      <c r="K56">
        <v>8</v>
      </c>
      <c r="L56" t="s">
        <v>307</v>
      </c>
      <c r="M56">
        <f xml:space="preserve"> (Table2[[#This Row],[Score]]/100) * 100</f>
        <v>79</v>
      </c>
      <c r="N56" t="str">
        <f>IF(Table2[[#This Row],[Score]]/100&gt;=0.5,"pass","fail")</f>
        <v>pass</v>
      </c>
      <c r="O56">
        <f ca="1">AVERAGEIF(B:B,Table2[[#This Row],[Name]],Table2[Score])</f>
        <v>93</v>
      </c>
      <c r="P56" s="2">
        <f>COUNTIF(Table2[Pass/Fail],"Pass")</f>
        <v>84</v>
      </c>
    </row>
    <row r="57" spans="1:16" x14ac:dyDescent="0.25">
      <c r="A57">
        <v>156</v>
      </c>
      <c r="B57" t="s">
        <v>67</v>
      </c>
      <c r="C57" t="s">
        <v>112</v>
      </c>
      <c r="D57">
        <v>25</v>
      </c>
      <c r="E57" t="s">
        <v>116</v>
      </c>
      <c r="F57" t="s">
        <v>123</v>
      </c>
      <c r="G57" t="s">
        <v>182</v>
      </c>
      <c r="H57">
        <v>93</v>
      </c>
      <c r="I57" t="s">
        <v>226</v>
      </c>
      <c r="J57" t="s">
        <v>241</v>
      </c>
      <c r="K57">
        <v>8</v>
      </c>
      <c r="L57" t="s">
        <v>308</v>
      </c>
      <c r="M57">
        <f xml:space="preserve"> (Table2[[#This Row],[Score]]/100) * 100</f>
        <v>93</v>
      </c>
      <c r="N57" t="str">
        <f>IF(Table2[[#This Row],[Score]]/100&gt;=0.5,"pass","fail")</f>
        <v>pass</v>
      </c>
      <c r="O57">
        <f ca="1">AVERAGEIF(B:B,Table2[[#This Row],[Name]],Table2[Score])</f>
        <v>57</v>
      </c>
      <c r="P57" s="2">
        <f>COUNTIF(Table2[Pass/Fail],"Pass")</f>
        <v>84</v>
      </c>
    </row>
    <row r="58" spans="1:16" x14ac:dyDescent="0.25">
      <c r="A58">
        <v>157</v>
      </c>
      <c r="B58" t="s">
        <v>68</v>
      </c>
      <c r="C58" t="s">
        <v>112</v>
      </c>
      <c r="D58">
        <v>23</v>
      </c>
      <c r="E58" t="s">
        <v>116</v>
      </c>
      <c r="F58" t="s">
        <v>123</v>
      </c>
      <c r="G58" t="s">
        <v>183</v>
      </c>
      <c r="H58">
        <v>57</v>
      </c>
      <c r="I58" t="s">
        <v>235</v>
      </c>
      <c r="J58" t="s">
        <v>112</v>
      </c>
      <c r="K58">
        <v>3</v>
      </c>
      <c r="L58" t="s">
        <v>309</v>
      </c>
      <c r="M58">
        <f xml:space="preserve"> (Table2[[#This Row],[Score]]/100) * 100</f>
        <v>56.999999999999993</v>
      </c>
      <c r="N58" t="str">
        <f>IF(Table2[[#This Row],[Score]]/100&gt;=0.5,"pass","fail")</f>
        <v>pass</v>
      </c>
      <c r="O58">
        <f ca="1">AVERAGEIF(B:B,Table2[[#This Row],[Name]],Table2[Score])</f>
        <v>85</v>
      </c>
      <c r="P58" s="2">
        <f>COUNTIF(Table2[Pass/Fail],"Pass")</f>
        <v>84</v>
      </c>
    </row>
    <row r="59" spans="1:16" x14ac:dyDescent="0.25">
      <c r="A59">
        <v>158</v>
      </c>
      <c r="B59" t="s">
        <v>69</v>
      </c>
      <c r="C59" t="s">
        <v>113</v>
      </c>
      <c r="D59">
        <v>19</v>
      </c>
      <c r="E59" t="s">
        <v>117</v>
      </c>
      <c r="F59" t="s">
        <v>131</v>
      </c>
      <c r="G59" t="s">
        <v>184</v>
      </c>
      <c r="H59">
        <v>85</v>
      </c>
      <c r="I59" t="s">
        <v>236</v>
      </c>
      <c r="J59" t="s">
        <v>240</v>
      </c>
      <c r="K59">
        <v>8</v>
      </c>
      <c r="L59" t="s">
        <v>310</v>
      </c>
      <c r="M59">
        <f xml:space="preserve"> (Table2[[#This Row],[Score]]/100) * 100</f>
        <v>85</v>
      </c>
      <c r="N59" t="str">
        <f>IF(Table2[[#This Row],[Score]]/100&gt;=0.5,"pass","fail")</f>
        <v>pass</v>
      </c>
      <c r="O59">
        <f ca="1">AVERAGEIF(B:B,Table2[[#This Row],[Name]],Table2[Score])</f>
        <v>93</v>
      </c>
      <c r="P59" s="2">
        <f>COUNTIF(Table2[Pass/Fail],"Pass")</f>
        <v>84</v>
      </c>
    </row>
    <row r="60" spans="1:16" x14ac:dyDescent="0.25">
      <c r="A60">
        <v>159</v>
      </c>
      <c r="B60" t="s">
        <v>70</v>
      </c>
      <c r="C60" t="s">
        <v>112</v>
      </c>
      <c r="D60">
        <v>24</v>
      </c>
      <c r="E60" t="s">
        <v>114</v>
      </c>
      <c r="F60" t="s">
        <v>130</v>
      </c>
      <c r="G60" t="s">
        <v>185</v>
      </c>
      <c r="H60">
        <v>93</v>
      </c>
      <c r="I60" t="s">
        <v>222</v>
      </c>
      <c r="J60" t="s">
        <v>241</v>
      </c>
      <c r="K60">
        <v>7</v>
      </c>
      <c r="L60" t="s">
        <v>311</v>
      </c>
      <c r="M60">
        <f xml:space="preserve"> (Table2[[#This Row],[Score]]/100) * 100</f>
        <v>93</v>
      </c>
      <c r="N60" t="str">
        <f>IF(Table2[[#This Row],[Score]]/100&gt;=0.5,"pass","fail")</f>
        <v>pass</v>
      </c>
      <c r="O60">
        <f ca="1">AVERAGEIF(B:B,Table2[[#This Row],[Name]],Table2[Score])</f>
        <v>59</v>
      </c>
      <c r="P60" s="2">
        <f>COUNTIF(Table2[Pass/Fail],"Pass")</f>
        <v>84</v>
      </c>
    </row>
    <row r="61" spans="1:16" x14ac:dyDescent="0.25">
      <c r="A61">
        <v>160</v>
      </c>
      <c r="B61" t="s">
        <v>71</v>
      </c>
      <c r="C61" t="s">
        <v>112</v>
      </c>
      <c r="D61">
        <v>24</v>
      </c>
      <c r="E61" t="s">
        <v>114</v>
      </c>
      <c r="F61" t="s">
        <v>129</v>
      </c>
      <c r="G61" t="s">
        <v>186</v>
      </c>
      <c r="H61">
        <v>59</v>
      </c>
      <c r="I61" t="s">
        <v>209</v>
      </c>
      <c r="J61" t="s">
        <v>112</v>
      </c>
      <c r="K61">
        <v>4</v>
      </c>
      <c r="L61" t="s">
        <v>312</v>
      </c>
      <c r="M61">
        <f xml:space="preserve"> (Table2[[#This Row],[Score]]/100) * 100</f>
        <v>59</v>
      </c>
      <c r="N61" t="str">
        <f>IF(Table2[[#This Row],[Score]]/100&gt;=0.5,"pass","fail")</f>
        <v>pass</v>
      </c>
      <c r="O61">
        <f ca="1">AVERAGEIF(B:B,Table2[[#This Row],[Name]],Table2[Score])</f>
        <v>67</v>
      </c>
      <c r="P61" s="2">
        <f>COUNTIF(Table2[Pass/Fail],"Pass")</f>
        <v>84</v>
      </c>
    </row>
    <row r="62" spans="1:16" x14ac:dyDescent="0.25">
      <c r="A62">
        <v>161</v>
      </c>
      <c r="B62" t="s">
        <v>72</v>
      </c>
      <c r="C62" t="s">
        <v>112</v>
      </c>
      <c r="D62">
        <v>18</v>
      </c>
      <c r="E62" t="s">
        <v>115</v>
      </c>
      <c r="F62" t="s">
        <v>126</v>
      </c>
      <c r="G62" t="s">
        <v>174</v>
      </c>
      <c r="H62">
        <v>67</v>
      </c>
      <c r="I62" t="s">
        <v>234</v>
      </c>
      <c r="J62" t="s">
        <v>243</v>
      </c>
      <c r="K62">
        <v>7</v>
      </c>
      <c r="L62" t="s">
        <v>313</v>
      </c>
      <c r="M62">
        <f xml:space="preserve"> (Table2[[#This Row],[Score]]/100) * 100</f>
        <v>67</v>
      </c>
      <c r="N62" t="str">
        <f>IF(Table2[[#This Row],[Score]]/100&gt;=0.5,"pass","fail")</f>
        <v>pass</v>
      </c>
      <c r="O62">
        <f ca="1">AVERAGEIF(B:B,Table2[[#This Row],[Name]],Table2[Score])</f>
        <v>79</v>
      </c>
      <c r="P62" s="2">
        <f>COUNTIF(Table2[Pass/Fail],"Pass")</f>
        <v>84</v>
      </c>
    </row>
    <row r="63" spans="1:16" x14ac:dyDescent="0.25">
      <c r="A63">
        <v>162</v>
      </c>
      <c r="B63" t="s">
        <v>73</v>
      </c>
      <c r="C63" t="s">
        <v>113</v>
      </c>
      <c r="D63">
        <v>24</v>
      </c>
      <c r="E63" t="s">
        <v>117</v>
      </c>
      <c r="F63" t="s">
        <v>131</v>
      </c>
      <c r="G63" t="s">
        <v>187</v>
      </c>
      <c r="H63">
        <v>79</v>
      </c>
      <c r="I63" t="s">
        <v>234</v>
      </c>
      <c r="J63" t="s">
        <v>242</v>
      </c>
      <c r="K63">
        <v>1</v>
      </c>
      <c r="L63" t="s">
        <v>314</v>
      </c>
      <c r="M63">
        <f xml:space="preserve"> (Table2[[#This Row],[Score]]/100) * 100</f>
        <v>79</v>
      </c>
      <c r="N63" t="str">
        <f>IF(Table2[[#This Row],[Score]]/100&gt;=0.5,"pass","fail")</f>
        <v>pass</v>
      </c>
      <c r="O63">
        <f ca="1">AVERAGEIF(B:B,Table2[[#This Row],[Name]],Table2[Score])</f>
        <v>95</v>
      </c>
      <c r="P63" s="2">
        <f>COUNTIF(Table2[Pass/Fail],"Pass")</f>
        <v>84</v>
      </c>
    </row>
    <row r="64" spans="1:16" x14ac:dyDescent="0.25">
      <c r="A64">
        <v>163</v>
      </c>
      <c r="B64" t="s">
        <v>74</v>
      </c>
      <c r="C64" t="s">
        <v>112</v>
      </c>
      <c r="D64">
        <v>20</v>
      </c>
      <c r="E64" t="s">
        <v>117</v>
      </c>
      <c r="F64" t="s">
        <v>131</v>
      </c>
      <c r="G64" t="s">
        <v>175</v>
      </c>
      <c r="H64">
        <v>95</v>
      </c>
      <c r="I64" t="s">
        <v>212</v>
      </c>
      <c r="J64" t="s">
        <v>241</v>
      </c>
      <c r="K64">
        <v>6</v>
      </c>
      <c r="L64" t="s">
        <v>315</v>
      </c>
      <c r="M64">
        <f xml:space="preserve"> (Table2[[#This Row],[Score]]/100) * 100</f>
        <v>95</v>
      </c>
      <c r="N64" t="str">
        <f>IF(Table2[[#This Row],[Score]]/100&gt;=0.5,"pass","fail")</f>
        <v>pass</v>
      </c>
      <c r="O64">
        <f ca="1">AVERAGEIF(B:B,Table2[[#This Row],[Name]],Table2[Score])</f>
        <v>61</v>
      </c>
      <c r="P64" s="2">
        <f>COUNTIF(Table2[Pass/Fail],"Pass")</f>
        <v>84</v>
      </c>
    </row>
    <row r="65" spans="1:16" x14ac:dyDescent="0.25">
      <c r="A65">
        <v>164</v>
      </c>
      <c r="B65" t="s">
        <v>75</v>
      </c>
      <c r="C65" t="s">
        <v>112</v>
      </c>
      <c r="D65">
        <v>22</v>
      </c>
      <c r="E65" t="s">
        <v>117</v>
      </c>
      <c r="F65" t="s">
        <v>125</v>
      </c>
      <c r="G65" t="s">
        <v>188</v>
      </c>
      <c r="H65">
        <v>61</v>
      </c>
      <c r="I65" t="s">
        <v>217</v>
      </c>
      <c r="J65" t="s">
        <v>243</v>
      </c>
      <c r="K65">
        <v>2</v>
      </c>
      <c r="L65" t="s">
        <v>316</v>
      </c>
      <c r="M65">
        <f xml:space="preserve"> (Table2[[#This Row],[Score]]/100) * 100</f>
        <v>61</v>
      </c>
      <c r="N65" t="str">
        <f>IF(Table2[[#This Row],[Score]]/100&gt;=0.5,"pass","fail")</f>
        <v>pass</v>
      </c>
      <c r="O65">
        <f ca="1">AVERAGEIF(B:B,Table2[[#This Row],[Name]],Table2[Score])</f>
        <v>100</v>
      </c>
      <c r="P65" s="2">
        <f>COUNTIF(Table2[Pass/Fail],"Pass")</f>
        <v>84</v>
      </c>
    </row>
    <row r="66" spans="1:16" x14ac:dyDescent="0.25">
      <c r="A66">
        <v>165</v>
      </c>
      <c r="B66" t="s">
        <v>76</v>
      </c>
      <c r="C66" t="s">
        <v>112</v>
      </c>
      <c r="D66">
        <v>21</v>
      </c>
      <c r="E66" t="s">
        <v>114</v>
      </c>
      <c r="F66" t="s">
        <v>118</v>
      </c>
      <c r="G66" t="s">
        <v>189</v>
      </c>
      <c r="H66">
        <v>100</v>
      </c>
      <c r="I66" t="s">
        <v>223</v>
      </c>
      <c r="J66" t="s">
        <v>241</v>
      </c>
      <c r="K66">
        <v>1</v>
      </c>
      <c r="L66" t="s">
        <v>317</v>
      </c>
      <c r="M66">
        <f xml:space="preserve"> (Table2[[#This Row],[Score]]/100) * 100</f>
        <v>100</v>
      </c>
      <c r="N66" t="str">
        <f>IF(Table2[[#This Row],[Score]]/100&gt;=0.5,"pass","fail")</f>
        <v>pass</v>
      </c>
      <c r="O66">
        <f ca="1">AVERAGEIF(B:B,Table2[[#This Row],[Name]],Table2[Score])</f>
        <v>93</v>
      </c>
      <c r="P66" s="2">
        <f>COUNTIF(Table2[Pass/Fail],"Pass")</f>
        <v>84</v>
      </c>
    </row>
    <row r="67" spans="1:16" x14ac:dyDescent="0.25">
      <c r="A67">
        <v>166</v>
      </c>
      <c r="B67" t="s">
        <v>77</v>
      </c>
      <c r="C67" t="s">
        <v>113</v>
      </c>
      <c r="D67">
        <v>20</v>
      </c>
      <c r="E67" t="s">
        <v>115</v>
      </c>
      <c r="F67" t="s">
        <v>127</v>
      </c>
      <c r="G67" t="s">
        <v>134</v>
      </c>
      <c r="H67">
        <v>93</v>
      </c>
      <c r="I67" t="s">
        <v>218</v>
      </c>
      <c r="J67" t="s">
        <v>241</v>
      </c>
      <c r="K67">
        <v>2</v>
      </c>
      <c r="L67" t="s">
        <v>318</v>
      </c>
      <c r="M67">
        <f xml:space="preserve"> (Table2[[#This Row],[Score]]/100) * 100</f>
        <v>93</v>
      </c>
      <c r="N67" t="str">
        <f>IF(Table2[[#This Row],[Score]]/100&gt;=0.5,"pass","fail")</f>
        <v>pass</v>
      </c>
      <c r="O67">
        <f ca="1">AVERAGEIF(B:B,Table2[[#This Row],[Name]],Table2[Score])</f>
        <v>84</v>
      </c>
      <c r="P67" s="2">
        <f>COUNTIF(Table2[Pass/Fail],"Pass")</f>
        <v>84</v>
      </c>
    </row>
    <row r="68" spans="1:16" x14ac:dyDescent="0.25">
      <c r="A68">
        <v>167</v>
      </c>
      <c r="B68" t="s">
        <v>78</v>
      </c>
      <c r="C68" t="s">
        <v>112</v>
      </c>
      <c r="D68">
        <v>23</v>
      </c>
      <c r="E68" t="s">
        <v>115</v>
      </c>
      <c r="F68" t="s">
        <v>120</v>
      </c>
      <c r="G68" t="s">
        <v>190</v>
      </c>
      <c r="H68">
        <v>84</v>
      </c>
      <c r="I68" t="s">
        <v>237</v>
      </c>
      <c r="J68" t="s">
        <v>240</v>
      </c>
      <c r="K68">
        <v>2</v>
      </c>
      <c r="L68" t="s">
        <v>319</v>
      </c>
      <c r="M68">
        <f xml:space="preserve"> (Table2[[#This Row],[Score]]/100) * 100</f>
        <v>84</v>
      </c>
      <c r="N68" t="str">
        <f>IF(Table2[[#This Row],[Score]]/100&gt;=0.5,"pass","fail")</f>
        <v>pass</v>
      </c>
      <c r="O68">
        <f ca="1">AVERAGEIF(B:B,Table2[[#This Row],[Name]],Table2[Score])</f>
        <v>77</v>
      </c>
      <c r="P68" s="2">
        <f>COUNTIF(Table2[Pass/Fail],"Pass")</f>
        <v>84</v>
      </c>
    </row>
    <row r="69" spans="1:16" x14ac:dyDescent="0.25">
      <c r="A69">
        <v>168</v>
      </c>
      <c r="B69" t="s">
        <v>79</v>
      </c>
      <c r="C69" t="s">
        <v>113</v>
      </c>
      <c r="D69">
        <v>22</v>
      </c>
      <c r="E69" t="s">
        <v>116</v>
      </c>
      <c r="F69" t="s">
        <v>132</v>
      </c>
      <c r="G69" t="s">
        <v>191</v>
      </c>
      <c r="H69">
        <v>77</v>
      </c>
      <c r="I69" t="s">
        <v>213</v>
      </c>
      <c r="J69" t="s">
        <v>242</v>
      </c>
      <c r="K69">
        <v>7</v>
      </c>
      <c r="L69" t="s">
        <v>320</v>
      </c>
      <c r="M69">
        <f xml:space="preserve"> (Table2[[#This Row],[Score]]/100) * 100</f>
        <v>77</v>
      </c>
      <c r="N69" t="str">
        <f>IF(Table2[[#This Row],[Score]]/100&gt;=0.5,"pass","fail")</f>
        <v>pass</v>
      </c>
      <c r="O69">
        <f ca="1">AVERAGEIF(B:B,Table2[[#This Row],[Name]],Table2[Score])</f>
        <v>77</v>
      </c>
      <c r="P69" s="2">
        <f>COUNTIF(Table2[Pass/Fail],"Pass")</f>
        <v>84</v>
      </c>
    </row>
    <row r="70" spans="1:16" x14ac:dyDescent="0.25">
      <c r="A70">
        <v>169</v>
      </c>
      <c r="B70" t="s">
        <v>80</v>
      </c>
      <c r="C70" t="s">
        <v>113</v>
      </c>
      <c r="D70">
        <v>19</v>
      </c>
      <c r="E70" t="s">
        <v>115</v>
      </c>
      <c r="F70" t="s">
        <v>122</v>
      </c>
      <c r="G70" t="s">
        <v>192</v>
      </c>
      <c r="H70">
        <v>77</v>
      </c>
      <c r="I70" t="s">
        <v>238</v>
      </c>
      <c r="J70" t="s">
        <v>242</v>
      </c>
      <c r="K70">
        <v>2</v>
      </c>
      <c r="L70" t="s">
        <v>321</v>
      </c>
      <c r="M70">
        <f xml:space="preserve"> (Table2[[#This Row],[Score]]/100) * 100</f>
        <v>77</v>
      </c>
      <c r="N70" t="str">
        <f>IF(Table2[[#This Row],[Score]]/100&gt;=0.5,"pass","fail")</f>
        <v>pass</v>
      </c>
      <c r="O70">
        <f ca="1">AVERAGEIF(B:B,Table2[[#This Row],[Name]],Table2[Score])</f>
        <v>74</v>
      </c>
      <c r="P70" s="2">
        <f>COUNTIF(Table2[Pass/Fail],"Pass")</f>
        <v>84</v>
      </c>
    </row>
    <row r="71" spans="1:16" x14ac:dyDescent="0.25">
      <c r="A71">
        <v>170</v>
      </c>
      <c r="B71" t="s">
        <v>81</v>
      </c>
      <c r="C71" t="s">
        <v>112</v>
      </c>
      <c r="D71">
        <v>23</v>
      </c>
      <c r="E71" t="s">
        <v>114</v>
      </c>
      <c r="F71" t="s">
        <v>129</v>
      </c>
      <c r="G71" t="s">
        <v>193</v>
      </c>
      <c r="H71">
        <v>74</v>
      </c>
      <c r="I71" t="s">
        <v>230</v>
      </c>
      <c r="J71" t="s">
        <v>242</v>
      </c>
      <c r="K71">
        <v>6</v>
      </c>
      <c r="L71" t="s">
        <v>322</v>
      </c>
      <c r="M71">
        <f xml:space="preserve"> (Table2[[#This Row],[Score]]/100) * 100</f>
        <v>74</v>
      </c>
      <c r="N71" t="str">
        <f>IF(Table2[[#This Row],[Score]]/100&gt;=0.5,"pass","fail")</f>
        <v>pass</v>
      </c>
      <c r="O71">
        <f ca="1">AVERAGEIF(B:B,Table2[[#This Row],[Name]],Table2[Score])</f>
        <v>46</v>
      </c>
      <c r="P71" s="2">
        <f>COUNTIF(Table2[Pass/Fail],"Pass")</f>
        <v>84</v>
      </c>
    </row>
    <row r="72" spans="1:16" x14ac:dyDescent="0.25">
      <c r="A72">
        <v>171</v>
      </c>
      <c r="B72" t="s">
        <v>82</v>
      </c>
      <c r="C72" t="s">
        <v>112</v>
      </c>
      <c r="D72">
        <v>23</v>
      </c>
      <c r="E72" t="s">
        <v>117</v>
      </c>
      <c r="F72" t="s">
        <v>124</v>
      </c>
      <c r="G72" t="s">
        <v>140</v>
      </c>
      <c r="H72">
        <v>46</v>
      </c>
      <c r="I72" t="s">
        <v>232</v>
      </c>
      <c r="J72" t="s">
        <v>112</v>
      </c>
      <c r="K72">
        <v>3</v>
      </c>
      <c r="L72" t="s">
        <v>323</v>
      </c>
      <c r="M72">
        <f xml:space="preserve"> (Table2[[#This Row],[Score]]/100) * 100</f>
        <v>46</v>
      </c>
      <c r="N72" t="str">
        <f>IF(Table2[[#This Row],[Score]]/100&gt;=0.5,"pass","fail")</f>
        <v>fail</v>
      </c>
      <c r="O72">
        <f ca="1">AVERAGEIF(B:B,Table2[[#This Row],[Name]],Table2[Score])</f>
        <v>79</v>
      </c>
      <c r="P72" s="2">
        <f>COUNTIF(Table2[Pass/Fail],"Pass")</f>
        <v>84</v>
      </c>
    </row>
    <row r="73" spans="1:16" x14ac:dyDescent="0.25">
      <c r="A73">
        <v>172</v>
      </c>
      <c r="B73" t="s">
        <v>83</v>
      </c>
      <c r="C73" t="s">
        <v>112</v>
      </c>
      <c r="D73">
        <v>25</v>
      </c>
      <c r="E73" t="s">
        <v>115</v>
      </c>
      <c r="F73" t="s">
        <v>126</v>
      </c>
      <c r="G73" t="s">
        <v>194</v>
      </c>
      <c r="H73">
        <v>79</v>
      </c>
      <c r="I73" t="s">
        <v>209</v>
      </c>
      <c r="J73" t="s">
        <v>242</v>
      </c>
      <c r="K73">
        <v>5</v>
      </c>
      <c r="L73" t="s">
        <v>324</v>
      </c>
      <c r="M73">
        <f xml:space="preserve"> (Table2[[#This Row],[Score]]/100) * 100</f>
        <v>79</v>
      </c>
      <c r="N73" t="str">
        <f>IF(Table2[[#This Row],[Score]]/100&gt;=0.5,"pass","fail")</f>
        <v>pass</v>
      </c>
      <c r="O73">
        <f ca="1">AVERAGEIF(B:B,Table2[[#This Row],[Name]],Table2[Score])</f>
        <v>57</v>
      </c>
      <c r="P73" s="2">
        <f>COUNTIF(Table2[Pass/Fail],"Pass")</f>
        <v>84</v>
      </c>
    </row>
    <row r="74" spans="1:16" x14ac:dyDescent="0.25">
      <c r="A74">
        <v>173</v>
      </c>
      <c r="B74" t="s">
        <v>84</v>
      </c>
      <c r="C74" t="s">
        <v>112</v>
      </c>
      <c r="D74">
        <v>21</v>
      </c>
      <c r="E74" t="s">
        <v>115</v>
      </c>
      <c r="F74" t="s">
        <v>122</v>
      </c>
      <c r="G74" t="s">
        <v>195</v>
      </c>
      <c r="H74">
        <v>57</v>
      </c>
      <c r="I74" t="s">
        <v>237</v>
      </c>
      <c r="J74" t="s">
        <v>112</v>
      </c>
      <c r="K74">
        <v>7</v>
      </c>
      <c r="L74" t="s">
        <v>325</v>
      </c>
      <c r="M74">
        <f xml:space="preserve"> (Table2[[#This Row],[Score]]/100) * 100</f>
        <v>56.999999999999993</v>
      </c>
      <c r="N74" t="str">
        <f>IF(Table2[[#This Row],[Score]]/100&gt;=0.5,"pass","fail")</f>
        <v>pass</v>
      </c>
      <c r="O74">
        <f ca="1">AVERAGEIF(B:B,Table2[[#This Row],[Name]],Table2[Score])</f>
        <v>94</v>
      </c>
      <c r="P74" s="2">
        <f>COUNTIF(Table2[Pass/Fail],"Pass")</f>
        <v>84</v>
      </c>
    </row>
    <row r="75" spans="1:16" x14ac:dyDescent="0.25">
      <c r="A75">
        <v>174</v>
      </c>
      <c r="B75" t="s">
        <v>85</v>
      </c>
      <c r="C75" t="s">
        <v>112</v>
      </c>
      <c r="D75">
        <v>20</v>
      </c>
      <c r="E75" t="s">
        <v>114</v>
      </c>
      <c r="F75" t="s">
        <v>119</v>
      </c>
      <c r="G75" t="s">
        <v>196</v>
      </c>
      <c r="H75">
        <v>94</v>
      </c>
      <c r="I75" t="s">
        <v>215</v>
      </c>
      <c r="J75" t="s">
        <v>241</v>
      </c>
      <c r="K75">
        <v>5</v>
      </c>
      <c r="L75" t="s">
        <v>326</v>
      </c>
      <c r="M75">
        <f xml:space="preserve"> (Table2[[#This Row],[Score]]/100) * 100</f>
        <v>94</v>
      </c>
      <c r="N75" t="str">
        <f>IF(Table2[[#This Row],[Score]]/100&gt;=0.5,"pass","fail")</f>
        <v>pass</v>
      </c>
      <c r="O75">
        <f ca="1">AVERAGEIF(B:B,Table2[[#This Row],[Name]],Table2[Score])</f>
        <v>75</v>
      </c>
      <c r="P75" s="2">
        <f>COUNTIF(Table2[Pass/Fail],"Pass")</f>
        <v>84</v>
      </c>
    </row>
    <row r="76" spans="1:16" x14ac:dyDescent="0.25">
      <c r="A76">
        <v>175</v>
      </c>
      <c r="B76" t="s">
        <v>86</v>
      </c>
      <c r="C76" t="s">
        <v>113</v>
      </c>
      <c r="D76">
        <v>21</v>
      </c>
      <c r="E76" t="s">
        <v>116</v>
      </c>
      <c r="F76" t="s">
        <v>121</v>
      </c>
      <c r="G76" t="s">
        <v>142</v>
      </c>
      <c r="H76">
        <v>75</v>
      </c>
      <c r="I76" t="s">
        <v>209</v>
      </c>
      <c r="J76" t="s">
        <v>242</v>
      </c>
      <c r="K76">
        <v>7</v>
      </c>
      <c r="L76" t="s">
        <v>327</v>
      </c>
      <c r="M76">
        <f xml:space="preserve"> (Table2[[#This Row],[Score]]/100) * 100</f>
        <v>75</v>
      </c>
      <c r="N76" t="str">
        <f>IF(Table2[[#This Row],[Score]]/100&gt;=0.5,"pass","fail")</f>
        <v>pass</v>
      </c>
      <c r="O76">
        <f ca="1">AVERAGEIF(B:B,Table2[[#This Row],[Name]],Table2[Score])</f>
        <v>81</v>
      </c>
      <c r="P76" s="2">
        <f>COUNTIF(Table2[Pass/Fail],"Pass")</f>
        <v>84</v>
      </c>
    </row>
    <row r="77" spans="1:16" x14ac:dyDescent="0.25">
      <c r="A77">
        <v>176</v>
      </c>
      <c r="B77" t="s">
        <v>87</v>
      </c>
      <c r="C77" t="s">
        <v>112</v>
      </c>
      <c r="D77">
        <v>25</v>
      </c>
      <c r="E77" t="s">
        <v>115</v>
      </c>
      <c r="F77" t="s">
        <v>120</v>
      </c>
      <c r="G77" t="s">
        <v>137</v>
      </c>
      <c r="H77">
        <v>81</v>
      </c>
      <c r="I77" t="s">
        <v>238</v>
      </c>
      <c r="J77" t="s">
        <v>240</v>
      </c>
      <c r="K77">
        <v>4</v>
      </c>
      <c r="L77" t="s">
        <v>328</v>
      </c>
      <c r="M77">
        <f xml:space="preserve"> (Table2[[#This Row],[Score]]/100) * 100</f>
        <v>81</v>
      </c>
      <c r="N77" t="str">
        <f>IF(Table2[[#This Row],[Score]]/100&gt;=0.5,"pass","fail")</f>
        <v>pass</v>
      </c>
      <c r="O77">
        <f ca="1">AVERAGEIF(B:B,Table2[[#This Row],[Name]],Table2[Score])</f>
        <v>82</v>
      </c>
      <c r="P77" s="2">
        <f>COUNTIF(Table2[Pass/Fail],"Pass")</f>
        <v>84</v>
      </c>
    </row>
    <row r="78" spans="1:16" x14ac:dyDescent="0.25">
      <c r="A78">
        <v>177</v>
      </c>
      <c r="B78" t="s">
        <v>88</v>
      </c>
      <c r="C78" t="s">
        <v>112</v>
      </c>
      <c r="D78">
        <v>25</v>
      </c>
      <c r="E78" t="s">
        <v>115</v>
      </c>
      <c r="F78" t="s">
        <v>126</v>
      </c>
      <c r="G78" t="s">
        <v>176</v>
      </c>
      <c r="H78">
        <v>82</v>
      </c>
      <c r="I78" t="s">
        <v>215</v>
      </c>
      <c r="J78" t="s">
        <v>240</v>
      </c>
      <c r="K78">
        <v>7</v>
      </c>
      <c r="L78" t="s">
        <v>329</v>
      </c>
      <c r="M78">
        <f xml:space="preserve"> (Table2[[#This Row],[Score]]/100) * 100</f>
        <v>82</v>
      </c>
      <c r="N78" t="str">
        <f>IF(Table2[[#This Row],[Score]]/100&gt;=0.5,"pass","fail")</f>
        <v>pass</v>
      </c>
      <c r="O78">
        <f ca="1">AVERAGEIF(B:B,Table2[[#This Row],[Name]],Table2[Score])</f>
        <v>84</v>
      </c>
      <c r="P78" s="2">
        <f>COUNTIF(Table2[Pass/Fail],"Pass")</f>
        <v>84</v>
      </c>
    </row>
    <row r="79" spans="1:16" x14ac:dyDescent="0.25">
      <c r="A79">
        <v>178</v>
      </c>
      <c r="B79" t="s">
        <v>89</v>
      </c>
      <c r="C79" t="s">
        <v>112</v>
      </c>
      <c r="D79">
        <v>22</v>
      </c>
      <c r="E79" t="s">
        <v>116</v>
      </c>
      <c r="F79" t="s">
        <v>121</v>
      </c>
      <c r="G79" t="s">
        <v>197</v>
      </c>
      <c r="H79">
        <v>84</v>
      </c>
      <c r="I79" t="s">
        <v>214</v>
      </c>
      <c r="J79" t="s">
        <v>240</v>
      </c>
      <c r="K79">
        <v>2</v>
      </c>
      <c r="L79" t="s">
        <v>330</v>
      </c>
      <c r="M79">
        <f xml:space="preserve"> (Table2[[#This Row],[Score]]/100) * 100</f>
        <v>84</v>
      </c>
      <c r="N79" t="str">
        <f>IF(Table2[[#This Row],[Score]]/100&gt;=0.5,"pass","fail")</f>
        <v>pass</v>
      </c>
      <c r="O79">
        <f ca="1">AVERAGEIF(B:B,Table2[[#This Row],[Name]],Table2[Score])</f>
        <v>87</v>
      </c>
      <c r="P79" s="2">
        <f>COUNTIF(Table2[Pass/Fail],"Pass")</f>
        <v>84</v>
      </c>
    </row>
    <row r="80" spans="1:16" x14ac:dyDescent="0.25">
      <c r="A80">
        <v>179</v>
      </c>
      <c r="B80" t="s">
        <v>90</v>
      </c>
      <c r="C80" t="s">
        <v>113</v>
      </c>
      <c r="D80">
        <v>21</v>
      </c>
      <c r="E80" t="s">
        <v>116</v>
      </c>
      <c r="F80" t="s">
        <v>132</v>
      </c>
      <c r="G80" t="s">
        <v>168</v>
      </c>
      <c r="H80">
        <v>87</v>
      </c>
      <c r="I80" t="s">
        <v>218</v>
      </c>
      <c r="J80" t="s">
        <v>240</v>
      </c>
      <c r="K80">
        <v>5</v>
      </c>
      <c r="L80" t="s">
        <v>331</v>
      </c>
      <c r="M80">
        <f xml:space="preserve"> (Table2[[#This Row],[Score]]/100) * 100</f>
        <v>87</v>
      </c>
      <c r="N80" t="str">
        <f>IF(Table2[[#This Row],[Score]]/100&gt;=0.5,"pass","fail")</f>
        <v>pass</v>
      </c>
      <c r="O80">
        <f ca="1">AVERAGEIF(B:B,Table2[[#This Row],[Name]],Table2[Score])</f>
        <v>93</v>
      </c>
      <c r="P80" s="2">
        <f>COUNTIF(Table2[Pass/Fail],"Pass")</f>
        <v>84</v>
      </c>
    </row>
    <row r="81" spans="1:16" x14ac:dyDescent="0.25">
      <c r="A81">
        <v>180</v>
      </c>
      <c r="B81" t="s">
        <v>91</v>
      </c>
      <c r="C81" t="s">
        <v>113</v>
      </c>
      <c r="D81">
        <v>22</v>
      </c>
      <c r="E81" t="s">
        <v>116</v>
      </c>
      <c r="F81" t="s">
        <v>132</v>
      </c>
      <c r="G81" t="s">
        <v>148</v>
      </c>
      <c r="H81">
        <v>93</v>
      </c>
      <c r="I81" t="s">
        <v>216</v>
      </c>
      <c r="J81" t="s">
        <v>241</v>
      </c>
      <c r="K81">
        <v>5</v>
      </c>
      <c r="L81" t="s">
        <v>332</v>
      </c>
      <c r="M81">
        <f xml:space="preserve"> (Table2[[#This Row],[Score]]/100) * 100</f>
        <v>93</v>
      </c>
      <c r="N81" t="str">
        <f>IF(Table2[[#This Row],[Score]]/100&gt;=0.5,"pass","fail")</f>
        <v>pass</v>
      </c>
      <c r="O81">
        <f ca="1">AVERAGEIF(B:B,Table2[[#This Row],[Name]],Table2[Score])</f>
        <v>42</v>
      </c>
      <c r="P81" s="2">
        <f>COUNTIF(Table2[Pass/Fail],"Pass")</f>
        <v>84</v>
      </c>
    </row>
    <row r="82" spans="1:16" x14ac:dyDescent="0.25">
      <c r="A82">
        <v>181</v>
      </c>
      <c r="B82" t="s">
        <v>92</v>
      </c>
      <c r="C82" t="s">
        <v>113</v>
      </c>
      <c r="D82">
        <v>22</v>
      </c>
      <c r="E82" t="s">
        <v>115</v>
      </c>
      <c r="F82" t="s">
        <v>126</v>
      </c>
      <c r="G82" t="s">
        <v>198</v>
      </c>
      <c r="H82">
        <v>42</v>
      </c>
      <c r="I82" t="s">
        <v>230</v>
      </c>
      <c r="J82" t="s">
        <v>112</v>
      </c>
      <c r="K82">
        <v>8</v>
      </c>
      <c r="L82" t="s">
        <v>333</v>
      </c>
      <c r="M82">
        <f xml:space="preserve"> (Table2[[#This Row],[Score]]/100) * 100</f>
        <v>42</v>
      </c>
      <c r="N82" t="str">
        <f>IF(Table2[[#This Row],[Score]]/100&gt;=0.5,"pass","fail")</f>
        <v>fail</v>
      </c>
      <c r="O82">
        <f ca="1">AVERAGEIF(B:B,Table2[[#This Row],[Name]],Table2[Score])</f>
        <v>70</v>
      </c>
      <c r="P82" s="2">
        <f>COUNTIF(Table2[Pass/Fail],"Pass")</f>
        <v>84</v>
      </c>
    </row>
    <row r="83" spans="1:16" x14ac:dyDescent="0.25">
      <c r="A83">
        <v>182</v>
      </c>
      <c r="B83" t="s">
        <v>93</v>
      </c>
      <c r="C83" t="s">
        <v>112</v>
      </c>
      <c r="D83">
        <v>25</v>
      </c>
      <c r="E83" t="s">
        <v>114</v>
      </c>
      <c r="F83" t="s">
        <v>129</v>
      </c>
      <c r="G83" t="s">
        <v>165</v>
      </c>
      <c r="H83">
        <v>70</v>
      </c>
      <c r="I83" t="s">
        <v>239</v>
      </c>
      <c r="J83" t="s">
        <v>242</v>
      </c>
      <c r="K83">
        <v>1</v>
      </c>
      <c r="L83" t="s">
        <v>334</v>
      </c>
      <c r="M83">
        <f xml:space="preserve"> (Table2[[#This Row],[Score]]/100) * 100</f>
        <v>70</v>
      </c>
      <c r="N83" t="str">
        <f>IF(Table2[[#This Row],[Score]]/100&gt;=0.5,"pass","fail")</f>
        <v>pass</v>
      </c>
      <c r="O83">
        <f ca="1">AVERAGEIF(B:B,Table2[[#This Row],[Name]],Table2[Score])</f>
        <v>92</v>
      </c>
      <c r="P83" s="2">
        <f>COUNTIF(Table2[Pass/Fail],"Pass")</f>
        <v>84</v>
      </c>
    </row>
    <row r="84" spans="1:16" x14ac:dyDescent="0.25">
      <c r="A84">
        <v>183</v>
      </c>
      <c r="B84" t="s">
        <v>94</v>
      </c>
      <c r="C84" t="s">
        <v>113</v>
      </c>
      <c r="D84">
        <v>24</v>
      </c>
      <c r="E84" t="s">
        <v>117</v>
      </c>
      <c r="F84" t="s">
        <v>128</v>
      </c>
      <c r="G84" t="s">
        <v>199</v>
      </c>
      <c r="H84">
        <v>92</v>
      </c>
      <c r="I84" t="s">
        <v>229</v>
      </c>
      <c r="J84" t="s">
        <v>241</v>
      </c>
      <c r="K84">
        <v>1</v>
      </c>
      <c r="L84" t="s">
        <v>335</v>
      </c>
      <c r="M84">
        <f xml:space="preserve"> (Table2[[#This Row],[Score]]/100) * 100</f>
        <v>92</v>
      </c>
      <c r="N84" t="str">
        <f>IF(Table2[[#This Row],[Score]]/100&gt;=0.5,"pass","fail")</f>
        <v>pass</v>
      </c>
      <c r="O84">
        <f ca="1">AVERAGEIF(B:B,Table2[[#This Row],[Name]],Table2[Score])</f>
        <v>45</v>
      </c>
      <c r="P84" s="2">
        <f>COUNTIF(Table2[Pass/Fail],"Pass")</f>
        <v>84</v>
      </c>
    </row>
    <row r="85" spans="1:16" x14ac:dyDescent="0.25">
      <c r="A85">
        <v>184</v>
      </c>
      <c r="B85" t="s">
        <v>95</v>
      </c>
      <c r="C85" t="s">
        <v>113</v>
      </c>
      <c r="D85">
        <v>19</v>
      </c>
      <c r="E85" t="s">
        <v>115</v>
      </c>
      <c r="F85" t="s">
        <v>126</v>
      </c>
      <c r="G85" t="s">
        <v>200</v>
      </c>
      <c r="H85">
        <v>45</v>
      </c>
      <c r="I85" t="s">
        <v>219</v>
      </c>
      <c r="J85" t="s">
        <v>112</v>
      </c>
      <c r="K85">
        <v>4</v>
      </c>
      <c r="L85" t="s">
        <v>336</v>
      </c>
      <c r="M85">
        <f xml:space="preserve"> (Table2[[#This Row],[Score]]/100) * 100</f>
        <v>45</v>
      </c>
      <c r="N85" t="str">
        <f>IF(Table2[[#This Row],[Score]]/100&gt;=0.5,"pass","fail")</f>
        <v>fail</v>
      </c>
      <c r="O85">
        <f ca="1">AVERAGEIF(B:B,Table2[[#This Row],[Name]],Table2[Score])</f>
        <v>98</v>
      </c>
      <c r="P85" s="2">
        <f>COUNTIF(Table2[Pass/Fail],"Pass")</f>
        <v>84</v>
      </c>
    </row>
    <row r="86" spans="1:16" x14ac:dyDescent="0.25">
      <c r="A86">
        <v>185</v>
      </c>
      <c r="B86" t="s">
        <v>96</v>
      </c>
      <c r="C86" t="s">
        <v>112</v>
      </c>
      <c r="D86">
        <v>22</v>
      </c>
      <c r="E86" t="s">
        <v>117</v>
      </c>
      <c r="F86" t="s">
        <v>124</v>
      </c>
      <c r="G86" t="s">
        <v>201</v>
      </c>
      <c r="H86">
        <v>98</v>
      </c>
      <c r="I86" t="s">
        <v>238</v>
      </c>
      <c r="J86" t="s">
        <v>241</v>
      </c>
      <c r="K86">
        <v>1</v>
      </c>
      <c r="L86" t="s">
        <v>337</v>
      </c>
      <c r="M86">
        <f xml:space="preserve"> (Table2[[#This Row],[Score]]/100) * 100</f>
        <v>98</v>
      </c>
      <c r="N86" t="str">
        <f>IF(Table2[[#This Row],[Score]]/100&gt;=0.5,"pass","fail")</f>
        <v>pass</v>
      </c>
      <c r="O86">
        <f ca="1">AVERAGEIF(B:B,Table2[[#This Row],[Name]],Table2[Score])</f>
        <v>80</v>
      </c>
      <c r="P86" s="2">
        <f>COUNTIF(Table2[Pass/Fail],"Pass")</f>
        <v>84</v>
      </c>
    </row>
    <row r="87" spans="1:16" x14ac:dyDescent="0.25">
      <c r="A87">
        <v>186</v>
      </c>
      <c r="B87" t="s">
        <v>97</v>
      </c>
      <c r="C87" t="s">
        <v>113</v>
      </c>
      <c r="D87">
        <v>22</v>
      </c>
      <c r="E87" t="s">
        <v>114</v>
      </c>
      <c r="F87" t="s">
        <v>130</v>
      </c>
      <c r="G87" t="s">
        <v>189</v>
      </c>
      <c r="H87">
        <v>80</v>
      </c>
      <c r="I87" t="s">
        <v>216</v>
      </c>
      <c r="J87" t="s">
        <v>240</v>
      </c>
      <c r="K87">
        <v>4</v>
      </c>
      <c r="L87" t="s">
        <v>338</v>
      </c>
      <c r="M87">
        <f xml:space="preserve"> (Table2[[#This Row],[Score]]/100) * 100</f>
        <v>80</v>
      </c>
      <c r="N87" t="str">
        <f>IF(Table2[[#This Row],[Score]]/100&gt;=0.5,"pass","fail")</f>
        <v>pass</v>
      </c>
      <c r="O87">
        <f ca="1">AVERAGEIF(B:B,Table2[[#This Row],[Name]],Table2[Score])</f>
        <v>40</v>
      </c>
      <c r="P87" s="2">
        <f>COUNTIF(Table2[Pass/Fail],"Pass")</f>
        <v>84</v>
      </c>
    </row>
    <row r="88" spans="1:16" x14ac:dyDescent="0.25">
      <c r="A88">
        <v>187</v>
      </c>
      <c r="B88" t="s">
        <v>98</v>
      </c>
      <c r="C88" t="s">
        <v>112</v>
      </c>
      <c r="D88">
        <v>25</v>
      </c>
      <c r="E88" t="s">
        <v>114</v>
      </c>
      <c r="F88" t="s">
        <v>130</v>
      </c>
      <c r="G88" t="s">
        <v>202</v>
      </c>
      <c r="H88">
        <v>40</v>
      </c>
      <c r="I88" t="s">
        <v>218</v>
      </c>
      <c r="J88" t="s">
        <v>112</v>
      </c>
      <c r="K88">
        <v>5</v>
      </c>
      <c r="L88" t="s">
        <v>339</v>
      </c>
      <c r="M88">
        <f xml:space="preserve"> (Table2[[#This Row],[Score]]/100) * 100</f>
        <v>40</v>
      </c>
      <c r="N88" t="str">
        <f>IF(Table2[[#This Row],[Score]]/100&gt;=0.5,"pass","fail")</f>
        <v>fail</v>
      </c>
      <c r="O88">
        <f ca="1">AVERAGEIF(B:B,Table2[[#This Row],[Name]],Table2[Score])</f>
        <v>85</v>
      </c>
      <c r="P88" s="2">
        <f>COUNTIF(Table2[Pass/Fail],"Pass")</f>
        <v>84</v>
      </c>
    </row>
    <row r="89" spans="1:16" x14ac:dyDescent="0.25">
      <c r="A89">
        <v>188</v>
      </c>
      <c r="B89" t="s">
        <v>99</v>
      </c>
      <c r="C89" t="s">
        <v>112</v>
      </c>
      <c r="D89">
        <v>25</v>
      </c>
      <c r="E89" t="s">
        <v>115</v>
      </c>
      <c r="F89" t="s">
        <v>126</v>
      </c>
      <c r="G89" t="s">
        <v>139</v>
      </c>
      <c r="H89">
        <v>85</v>
      </c>
      <c r="I89" t="s">
        <v>214</v>
      </c>
      <c r="J89" t="s">
        <v>240</v>
      </c>
      <c r="K89">
        <v>5</v>
      </c>
      <c r="L89" t="s">
        <v>340</v>
      </c>
      <c r="M89">
        <f xml:space="preserve"> (Table2[[#This Row],[Score]]/100) * 100</f>
        <v>85</v>
      </c>
      <c r="N89" t="str">
        <f>IF(Table2[[#This Row],[Score]]/100&gt;=0.5,"pass","fail")</f>
        <v>pass</v>
      </c>
      <c r="O89">
        <f ca="1">AVERAGEIF(B:B,Table2[[#This Row],[Name]],Table2[Score])</f>
        <v>47</v>
      </c>
      <c r="P89" s="2">
        <f>COUNTIF(Table2[Pass/Fail],"Pass")</f>
        <v>84</v>
      </c>
    </row>
    <row r="90" spans="1:16" x14ac:dyDescent="0.25">
      <c r="A90">
        <v>189</v>
      </c>
      <c r="B90" t="s">
        <v>100</v>
      </c>
      <c r="C90" t="s">
        <v>113</v>
      </c>
      <c r="D90">
        <v>20</v>
      </c>
      <c r="E90" t="s">
        <v>115</v>
      </c>
      <c r="F90" t="s">
        <v>120</v>
      </c>
      <c r="G90" t="s">
        <v>149</v>
      </c>
      <c r="H90">
        <v>47</v>
      </c>
      <c r="I90" t="s">
        <v>235</v>
      </c>
      <c r="J90" t="s">
        <v>112</v>
      </c>
      <c r="K90">
        <v>2</v>
      </c>
      <c r="L90" t="s">
        <v>341</v>
      </c>
      <c r="M90">
        <f xml:space="preserve"> (Table2[[#This Row],[Score]]/100) * 100</f>
        <v>47</v>
      </c>
      <c r="N90" t="str">
        <f>IF(Table2[[#This Row],[Score]]/100&gt;=0.5,"pass","fail")</f>
        <v>fail</v>
      </c>
      <c r="O90">
        <f ca="1">AVERAGEIF(B:B,Table2[[#This Row],[Name]],Table2[Score])</f>
        <v>78</v>
      </c>
      <c r="P90" s="2">
        <f>COUNTIF(Table2[Pass/Fail],"Pass")</f>
        <v>84</v>
      </c>
    </row>
    <row r="91" spans="1:16" x14ac:dyDescent="0.25">
      <c r="A91">
        <v>190</v>
      </c>
      <c r="B91" t="s">
        <v>101</v>
      </c>
      <c r="C91" t="s">
        <v>112</v>
      </c>
      <c r="D91">
        <v>25</v>
      </c>
      <c r="E91" t="s">
        <v>115</v>
      </c>
      <c r="F91" t="s">
        <v>126</v>
      </c>
      <c r="G91" t="s">
        <v>203</v>
      </c>
      <c r="H91">
        <v>78</v>
      </c>
      <c r="I91" t="s">
        <v>225</v>
      </c>
      <c r="J91" t="s">
        <v>242</v>
      </c>
      <c r="K91">
        <v>5</v>
      </c>
      <c r="L91" t="s">
        <v>342</v>
      </c>
      <c r="M91">
        <f xml:space="preserve"> (Table2[[#This Row],[Score]]/100) * 100</f>
        <v>78</v>
      </c>
      <c r="N91" t="str">
        <f>IF(Table2[[#This Row],[Score]]/100&gt;=0.5,"pass","fail")</f>
        <v>pass</v>
      </c>
      <c r="O91">
        <f ca="1">AVERAGEIF(B:B,Table2[[#This Row],[Name]],Table2[Score])</f>
        <v>68</v>
      </c>
      <c r="P91" s="2">
        <f>COUNTIF(Table2[Pass/Fail],"Pass")</f>
        <v>84</v>
      </c>
    </row>
    <row r="92" spans="1:16" x14ac:dyDescent="0.25">
      <c r="A92">
        <v>191</v>
      </c>
      <c r="B92" t="s">
        <v>102</v>
      </c>
      <c r="C92" t="s">
        <v>113</v>
      </c>
      <c r="D92">
        <v>18</v>
      </c>
      <c r="E92" t="s">
        <v>116</v>
      </c>
      <c r="F92" t="s">
        <v>133</v>
      </c>
      <c r="G92" t="s">
        <v>204</v>
      </c>
      <c r="H92">
        <v>68</v>
      </c>
      <c r="I92" t="s">
        <v>236</v>
      </c>
      <c r="J92" t="s">
        <v>243</v>
      </c>
      <c r="K92">
        <v>5</v>
      </c>
      <c r="L92" t="s">
        <v>343</v>
      </c>
      <c r="M92">
        <f xml:space="preserve"> (Table2[[#This Row],[Score]]/100) * 100</f>
        <v>68</v>
      </c>
      <c r="N92" t="str">
        <f>IF(Table2[[#This Row],[Score]]/100&gt;=0.5,"pass","fail")</f>
        <v>pass</v>
      </c>
      <c r="O92">
        <f ca="1">AVERAGEIF(B:B,Table2[[#This Row],[Name]],Table2[Score])</f>
        <v>83</v>
      </c>
      <c r="P92" s="2">
        <f>COUNTIF(Table2[Pass/Fail],"Pass")</f>
        <v>84</v>
      </c>
    </row>
    <row r="93" spans="1:16" x14ac:dyDescent="0.25">
      <c r="A93">
        <v>192</v>
      </c>
      <c r="B93" t="s">
        <v>103</v>
      </c>
      <c r="C93" t="s">
        <v>113</v>
      </c>
      <c r="D93">
        <v>22</v>
      </c>
      <c r="E93" t="s">
        <v>114</v>
      </c>
      <c r="F93" t="s">
        <v>130</v>
      </c>
      <c r="G93" t="s">
        <v>205</v>
      </c>
      <c r="H93">
        <v>83</v>
      </c>
      <c r="I93" t="s">
        <v>223</v>
      </c>
      <c r="J93" t="s">
        <v>240</v>
      </c>
      <c r="K93">
        <v>3</v>
      </c>
      <c r="L93" t="s">
        <v>344</v>
      </c>
      <c r="M93">
        <f xml:space="preserve"> (Table2[[#This Row],[Score]]/100) * 100</f>
        <v>83</v>
      </c>
      <c r="N93" t="str">
        <f>IF(Table2[[#This Row],[Score]]/100&gt;=0.5,"pass","fail")</f>
        <v>pass</v>
      </c>
      <c r="O93">
        <f ca="1">AVERAGEIF(B:B,Table2[[#This Row],[Name]],Table2[Score])</f>
        <v>51</v>
      </c>
      <c r="P93" s="2">
        <f>COUNTIF(Table2[Pass/Fail],"Pass")</f>
        <v>84</v>
      </c>
    </row>
    <row r="94" spans="1:16" x14ac:dyDescent="0.25">
      <c r="A94">
        <v>193</v>
      </c>
      <c r="B94" t="s">
        <v>104</v>
      </c>
      <c r="C94" t="s">
        <v>112</v>
      </c>
      <c r="D94">
        <v>25</v>
      </c>
      <c r="E94" t="s">
        <v>117</v>
      </c>
      <c r="F94" t="s">
        <v>125</v>
      </c>
      <c r="G94" t="s">
        <v>206</v>
      </c>
      <c r="H94">
        <v>51</v>
      </c>
      <c r="I94" t="s">
        <v>215</v>
      </c>
      <c r="J94" t="s">
        <v>112</v>
      </c>
      <c r="K94">
        <v>7</v>
      </c>
      <c r="L94" t="s">
        <v>345</v>
      </c>
      <c r="M94">
        <f xml:space="preserve"> (Table2[[#This Row],[Score]]/100) * 100</f>
        <v>51</v>
      </c>
      <c r="N94" t="str">
        <f>IF(Table2[[#This Row],[Score]]/100&gt;=0.5,"pass","fail")</f>
        <v>pass</v>
      </c>
      <c r="O94">
        <f ca="1">AVERAGEIF(B:B,Table2[[#This Row],[Name]],Table2[Score])</f>
        <v>94</v>
      </c>
      <c r="P94" s="2">
        <f>COUNTIF(Table2[Pass/Fail],"Pass")</f>
        <v>84</v>
      </c>
    </row>
    <row r="95" spans="1:16" x14ac:dyDescent="0.25">
      <c r="A95">
        <v>194</v>
      </c>
      <c r="B95" t="s">
        <v>105</v>
      </c>
      <c r="C95" t="s">
        <v>113</v>
      </c>
      <c r="D95">
        <v>23</v>
      </c>
      <c r="E95" t="s">
        <v>116</v>
      </c>
      <c r="F95" t="s">
        <v>132</v>
      </c>
      <c r="G95" t="s">
        <v>207</v>
      </c>
      <c r="H95">
        <v>94</v>
      </c>
      <c r="I95" t="s">
        <v>218</v>
      </c>
      <c r="J95" t="s">
        <v>241</v>
      </c>
      <c r="K95">
        <v>5</v>
      </c>
      <c r="L95" t="s">
        <v>346</v>
      </c>
      <c r="M95">
        <f xml:space="preserve"> (Table2[[#This Row],[Score]]/100) * 100</f>
        <v>94</v>
      </c>
      <c r="N95" t="str">
        <f>IF(Table2[[#This Row],[Score]]/100&gt;=0.5,"pass","fail")</f>
        <v>pass</v>
      </c>
      <c r="O95">
        <f ca="1">AVERAGEIF(B:B,Table2[[#This Row],[Name]],Table2[Score])</f>
        <v>45</v>
      </c>
      <c r="P95" s="2">
        <f>COUNTIF(Table2[Pass/Fail],"Pass")</f>
        <v>84</v>
      </c>
    </row>
    <row r="96" spans="1:16" x14ac:dyDescent="0.25">
      <c r="A96">
        <v>195</v>
      </c>
      <c r="B96" t="s">
        <v>106</v>
      </c>
      <c r="C96" t="s">
        <v>112</v>
      </c>
      <c r="D96">
        <v>22</v>
      </c>
      <c r="E96" t="s">
        <v>114</v>
      </c>
      <c r="F96" t="s">
        <v>119</v>
      </c>
      <c r="G96" t="s">
        <v>166</v>
      </c>
      <c r="H96">
        <v>45</v>
      </c>
      <c r="I96" t="s">
        <v>223</v>
      </c>
      <c r="J96" t="s">
        <v>112</v>
      </c>
      <c r="K96">
        <v>7</v>
      </c>
      <c r="L96" t="s">
        <v>347</v>
      </c>
      <c r="M96">
        <f xml:space="preserve"> (Table2[[#This Row],[Score]]/100) * 100</f>
        <v>45</v>
      </c>
      <c r="N96" t="str">
        <f>IF(Table2[[#This Row],[Score]]/100&gt;=0.5,"pass","fail")</f>
        <v>fail</v>
      </c>
      <c r="O96">
        <f ca="1">AVERAGEIF(B:B,Table2[[#This Row],[Name]],Table2[Score])</f>
        <v>66</v>
      </c>
      <c r="P96" s="2">
        <f>COUNTIF(Table2[Pass/Fail],"Pass")</f>
        <v>84</v>
      </c>
    </row>
    <row r="97" spans="1:16" x14ac:dyDescent="0.25">
      <c r="A97">
        <v>196</v>
      </c>
      <c r="B97" t="s">
        <v>107</v>
      </c>
      <c r="C97" t="s">
        <v>113</v>
      </c>
      <c r="D97">
        <v>21</v>
      </c>
      <c r="E97" t="s">
        <v>114</v>
      </c>
      <c r="F97" t="s">
        <v>119</v>
      </c>
      <c r="G97" t="s">
        <v>208</v>
      </c>
      <c r="H97">
        <v>66</v>
      </c>
      <c r="I97" t="s">
        <v>237</v>
      </c>
      <c r="J97" t="s">
        <v>243</v>
      </c>
      <c r="K97">
        <v>8</v>
      </c>
      <c r="L97" t="s">
        <v>348</v>
      </c>
      <c r="M97">
        <f xml:space="preserve"> (Table2[[#This Row],[Score]]/100) * 100</f>
        <v>66</v>
      </c>
      <c r="N97" t="str">
        <f>IF(Table2[[#This Row],[Score]]/100&gt;=0.5,"pass","fail")</f>
        <v>pass</v>
      </c>
      <c r="O97">
        <f ca="1">AVERAGEIF(B:B,Table2[[#This Row],[Name]],Table2[Score])</f>
        <v>57</v>
      </c>
      <c r="P97" s="2">
        <f>COUNTIF(Table2[Pass/Fail],"Pass")</f>
        <v>84</v>
      </c>
    </row>
    <row r="98" spans="1:16" x14ac:dyDescent="0.25">
      <c r="A98">
        <v>197</v>
      </c>
      <c r="B98" t="s">
        <v>108</v>
      </c>
      <c r="C98" t="s">
        <v>113</v>
      </c>
      <c r="D98">
        <v>22</v>
      </c>
      <c r="E98" t="s">
        <v>114</v>
      </c>
      <c r="F98" t="s">
        <v>130</v>
      </c>
      <c r="G98" t="s">
        <v>207</v>
      </c>
      <c r="H98">
        <v>57</v>
      </c>
      <c r="I98" t="s">
        <v>218</v>
      </c>
      <c r="J98" t="s">
        <v>112</v>
      </c>
      <c r="K98">
        <v>2</v>
      </c>
      <c r="L98" t="s">
        <v>349</v>
      </c>
      <c r="M98">
        <f xml:space="preserve"> (Table2[[#This Row],[Score]]/100) * 100</f>
        <v>56.999999999999993</v>
      </c>
      <c r="N98" t="str">
        <f>IF(Table2[[#This Row],[Score]]/100&gt;=0.5,"pass","fail")</f>
        <v>pass</v>
      </c>
      <c r="O98">
        <f ca="1">AVERAGEIF(B:B,Table2[[#This Row],[Name]],Table2[Score])</f>
        <v>59</v>
      </c>
      <c r="P98" s="2">
        <f>COUNTIF(Table2[Pass/Fail],"Pass")</f>
        <v>84</v>
      </c>
    </row>
    <row r="99" spans="1:16" x14ac:dyDescent="0.25">
      <c r="A99">
        <v>198</v>
      </c>
      <c r="B99" t="s">
        <v>109</v>
      </c>
      <c r="C99" t="s">
        <v>113</v>
      </c>
      <c r="D99">
        <v>24</v>
      </c>
      <c r="E99" t="s">
        <v>115</v>
      </c>
      <c r="F99" t="s">
        <v>127</v>
      </c>
      <c r="G99" t="s">
        <v>142</v>
      </c>
      <c r="H99">
        <v>59</v>
      </c>
      <c r="I99" t="s">
        <v>217</v>
      </c>
      <c r="J99" t="s">
        <v>112</v>
      </c>
      <c r="K99">
        <v>2</v>
      </c>
      <c r="L99" t="s">
        <v>350</v>
      </c>
      <c r="M99">
        <f xml:space="preserve"> (Table2[[#This Row],[Score]]/100) * 100</f>
        <v>59</v>
      </c>
      <c r="N99" t="str">
        <f>IF(Table2[[#This Row],[Score]]/100&gt;=0.5,"pass","fail")</f>
        <v>pass</v>
      </c>
      <c r="O99">
        <f ca="1">AVERAGEIF(B:B,Table2[[#This Row],[Name]],Table2[Score])</f>
        <v>71</v>
      </c>
      <c r="P99" s="2">
        <f>COUNTIF(Table2[Pass/Fail],"Pass")</f>
        <v>84</v>
      </c>
    </row>
    <row r="100" spans="1:16" x14ac:dyDescent="0.25">
      <c r="A100">
        <v>199</v>
      </c>
      <c r="B100" t="s">
        <v>110</v>
      </c>
      <c r="C100" t="s">
        <v>112</v>
      </c>
      <c r="D100">
        <v>22</v>
      </c>
      <c r="E100" t="s">
        <v>114</v>
      </c>
      <c r="F100" t="s">
        <v>130</v>
      </c>
      <c r="G100" t="s">
        <v>194</v>
      </c>
      <c r="H100">
        <v>71</v>
      </c>
      <c r="I100" t="s">
        <v>218</v>
      </c>
      <c r="J100" t="s">
        <v>242</v>
      </c>
      <c r="K100">
        <v>8</v>
      </c>
      <c r="L100" t="s">
        <v>351</v>
      </c>
      <c r="M100">
        <f xml:space="preserve"> (Table2[[#This Row],[Score]]/100) * 100</f>
        <v>71</v>
      </c>
      <c r="N100" t="str">
        <f>IF(Table2[[#This Row],[Score]]/100&gt;=0.5,"pass","fail")</f>
        <v>pass</v>
      </c>
      <c r="O100">
        <f ca="1">AVERAGEIF(B:B,Table2[[#This Row],[Name]],Table2[Score])</f>
        <v>64</v>
      </c>
      <c r="P100" s="2">
        <f>COUNTIF(Table2[Pass/Fail],"Pass")</f>
        <v>84</v>
      </c>
    </row>
    <row r="101" spans="1:16" x14ac:dyDescent="0.25">
      <c r="A101">
        <v>200</v>
      </c>
      <c r="B101" t="s">
        <v>111</v>
      </c>
      <c r="C101" t="s">
        <v>113</v>
      </c>
      <c r="D101">
        <v>20</v>
      </c>
      <c r="E101" t="s">
        <v>117</v>
      </c>
      <c r="F101" t="s">
        <v>131</v>
      </c>
      <c r="G101" t="s">
        <v>175</v>
      </c>
      <c r="H101">
        <v>64</v>
      </c>
      <c r="I101" t="s">
        <v>223</v>
      </c>
      <c r="J101" t="s">
        <v>243</v>
      </c>
      <c r="K101">
        <v>7</v>
      </c>
      <c r="L101" t="s">
        <v>352</v>
      </c>
      <c r="M101">
        <f xml:space="preserve"> (Table2[[#This Row],[Score]]/100) * 100</f>
        <v>64</v>
      </c>
      <c r="N101" t="str">
        <f>IF(Table2[[#This Row],[Score]]/100&gt;=0.5,"pass","fail")</f>
        <v>pass</v>
      </c>
      <c r="O101" t="e">
        <f ca="1">AVERAGEIF(B:B,Table2[[#This Row],[Name]],Table2[Score])</f>
        <v>#DIV/0!</v>
      </c>
      <c r="P101" s="2">
        <f>COUNTIF(Table2[Pass/Fail],"Pass")</f>
        <v>84</v>
      </c>
    </row>
    <row r="102" spans="1:16" x14ac:dyDescent="0.25">
      <c r="L102" t="s">
        <v>352</v>
      </c>
      <c r="M102" s="2">
        <f xml:space="preserve"> (Table2[[#This Row],[Score]]/100) * 100</f>
        <v>0</v>
      </c>
      <c r="N102" s="2" t="str">
        <f>IF(Table2[[#This Row],[Score]]/100&gt;=0.5,"pass","fail")</f>
        <v>fail</v>
      </c>
      <c r="O102" s="2" t="e">
        <f ca="1">AVERAGEIF(B:B,Table2[[#This Row],[Name]],Table2[Score])</f>
        <v>#DIV/0!</v>
      </c>
      <c r="P102" s="2">
        <f>COUNTIF(Table2[Pass/Fail],"Pass")</f>
        <v>84</v>
      </c>
    </row>
    <row r="103" spans="1:16" x14ac:dyDescent="0.25">
      <c r="M103" s="2"/>
      <c r="N103" s="2"/>
      <c r="O103" s="2"/>
      <c r="P103" s="2"/>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F14A-8B7C-4EFB-B2E7-F0FEDDE063DB}">
  <dimension ref="A1:B18"/>
  <sheetViews>
    <sheetView workbookViewId="0">
      <selection activeCell="L9" sqref="L9"/>
    </sheetView>
  </sheetViews>
  <sheetFormatPr defaultRowHeight="15" x14ac:dyDescent="0.25"/>
  <cols>
    <col min="1" max="1" width="13.7109375" bestFit="1" customWidth="1"/>
    <col min="2" max="3" width="21.140625" bestFit="1" customWidth="1"/>
  </cols>
  <sheetData>
    <row r="1" spans="1:2" x14ac:dyDescent="0.25">
      <c r="A1" s="3" t="s">
        <v>248</v>
      </c>
      <c r="B1" t="s">
        <v>356</v>
      </c>
    </row>
    <row r="2" spans="1:2" x14ac:dyDescent="0.25">
      <c r="A2" s="4" t="s">
        <v>122</v>
      </c>
      <c r="B2" s="2">
        <v>6</v>
      </c>
    </row>
    <row r="3" spans="1:2" x14ac:dyDescent="0.25">
      <c r="A3" s="4" t="s">
        <v>119</v>
      </c>
      <c r="B3" s="2">
        <v>6</v>
      </c>
    </row>
    <row r="4" spans="1:2" x14ac:dyDescent="0.25">
      <c r="A4" s="4" t="s">
        <v>129</v>
      </c>
      <c r="B4" s="2">
        <v>7</v>
      </c>
    </row>
    <row r="5" spans="1:2" x14ac:dyDescent="0.25">
      <c r="A5" s="4" t="s">
        <v>133</v>
      </c>
      <c r="B5" s="2">
        <v>5</v>
      </c>
    </row>
    <row r="6" spans="1:2" x14ac:dyDescent="0.25">
      <c r="A6" s="4" t="s">
        <v>120</v>
      </c>
      <c r="B6" s="2">
        <v>5</v>
      </c>
    </row>
    <row r="7" spans="1:2" x14ac:dyDescent="0.25">
      <c r="A7" s="4" t="s">
        <v>121</v>
      </c>
      <c r="B7" s="2">
        <v>6</v>
      </c>
    </row>
    <row r="8" spans="1:2" x14ac:dyDescent="0.25">
      <c r="A8" s="4" t="s">
        <v>126</v>
      </c>
      <c r="B8" s="2">
        <v>14</v>
      </c>
    </row>
    <row r="9" spans="1:2" x14ac:dyDescent="0.25">
      <c r="A9" s="4" t="s">
        <v>128</v>
      </c>
      <c r="B9" s="2">
        <v>5</v>
      </c>
    </row>
    <row r="10" spans="1:2" x14ac:dyDescent="0.25">
      <c r="A10" s="4" t="s">
        <v>124</v>
      </c>
      <c r="B10" s="2">
        <v>6</v>
      </c>
    </row>
    <row r="11" spans="1:2" x14ac:dyDescent="0.25">
      <c r="A11" s="4" t="s">
        <v>131</v>
      </c>
      <c r="B11" s="2">
        <v>5</v>
      </c>
    </row>
    <row r="12" spans="1:2" x14ac:dyDescent="0.25">
      <c r="A12" s="4" t="s">
        <v>127</v>
      </c>
      <c r="B12" s="2">
        <v>6</v>
      </c>
    </row>
    <row r="13" spans="1:2" x14ac:dyDescent="0.25">
      <c r="A13" s="4" t="s">
        <v>130</v>
      </c>
      <c r="B13" s="2">
        <v>10</v>
      </c>
    </row>
    <row r="14" spans="1:2" x14ac:dyDescent="0.25">
      <c r="A14" s="4" t="s">
        <v>132</v>
      </c>
      <c r="B14" s="2">
        <v>7</v>
      </c>
    </row>
    <row r="15" spans="1:2" x14ac:dyDescent="0.25">
      <c r="A15" s="4" t="s">
        <v>125</v>
      </c>
      <c r="B15" s="2">
        <v>4</v>
      </c>
    </row>
    <row r="16" spans="1:2" x14ac:dyDescent="0.25">
      <c r="A16" s="4" t="s">
        <v>123</v>
      </c>
      <c r="B16" s="2">
        <v>4</v>
      </c>
    </row>
    <row r="17" spans="1:2" x14ac:dyDescent="0.25">
      <c r="A17" s="4" t="s">
        <v>118</v>
      </c>
      <c r="B17" s="2">
        <v>4</v>
      </c>
    </row>
    <row r="18" spans="1:2" x14ac:dyDescent="0.25">
      <c r="A18" s="4" t="s">
        <v>251</v>
      </c>
      <c r="B18" s="2">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221C-4D15-4657-89FE-5432F7C167F8}">
  <dimension ref="A3:B79"/>
  <sheetViews>
    <sheetView workbookViewId="0">
      <selection activeCell="W9" sqref="W9"/>
    </sheetView>
  </sheetViews>
  <sheetFormatPr defaultRowHeight="15" x14ac:dyDescent="0.25"/>
  <cols>
    <col min="1" max="1" width="13.140625" bestFit="1" customWidth="1"/>
    <col min="2" max="2" width="16.5703125" bestFit="1" customWidth="1"/>
    <col min="3" max="3" width="14.5703125" bestFit="1" customWidth="1"/>
    <col min="4" max="32" width="4.5703125" bestFit="1" customWidth="1"/>
    <col min="33" max="33" width="11.28515625" bestFit="1" customWidth="1"/>
  </cols>
  <sheetData>
    <row r="3" spans="1:2" x14ac:dyDescent="0.25">
      <c r="A3" s="3" t="s">
        <v>248</v>
      </c>
      <c r="B3" t="s">
        <v>357</v>
      </c>
    </row>
    <row r="4" spans="1:2" x14ac:dyDescent="0.25">
      <c r="A4" s="4" t="s">
        <v>137</v>
      </c>
      <c r="B4" s="2">
        <v>400</v>
      </c>
    </row>
    <row r="5" spans="1:2" x14ac:dyDescent="0.25">
      <c r="A5" s="4" t="s">
        <v>142</v>
      </c>
      <c r="B5" s="2">
        <v>482</v>
      </c>
    </row>
    <row r="6" spans="1:2" x14ac:dyDescent="0.25">
      <c r="A6" s="4" t="s">
        <v>175</v>
      </c>
      <c r="B6" s="2">
        <v>507</v>
      </c>
    </row>
    <row r="7" spans="1:2" x14ac:dyDescent="0.25">
      <c r="A7" s="4" t="s">
        <v>155</v>
      </c>
      <c r="B7" s="2">
        <v>123</v>
      </c>
    </row>
    <row r="8" spans="1:2" x14ac:dyDescent="0.25">
      <c r="A8" s="4" t="s">
        <v>203</v>
      </c>
      <c r="B8" s="2">
        <v>190</v>
      </c>
    </row>
    <row r="9" spans="1:2" x14ac:dyDescent="0.25">
      <c r="A9" s="4" t="s">
        <v>206</v>
      </c>
      <c r="B9" s="2">
        <v>193</v>
      </c>
    </row>
    <row r="10" spans="1:2" x14ac:dyDescent="0.25">
      <c r="A10" s="4" t="s">
        <v>193</v>
      </c>
      <c r="B10" s="2">
        <v>170</v>
      </c>
    </row>
    <row r="11" spans="1:2" x14ac:dyDescent="0.25">
      <c r="A11" s="4" t="s">
        <v>164</v>
      </c>
      <c r="B11" s="2">
        <v>132</v>
      </c>
    </row>
    <row r="12" spans="1:2" x14ac:dyDescent="0.25">
      <c r="A12" s="4" t="s">
        <v>161</v>
      </c>
      <c r="B12" s="2">
        <v>129</v>
      </c>
    </row>
    <row r="13" spans="1:2" x14ac:dyDescent="0.25">
      <c r="A13" s="4" t="s">
        <v>139</v>
      </c>
      <c r="B13" s="2">
        <v>294</v>
      </c>
    </row>
    <row r="14" spans="1:2" x14ac:dyDescent="0.25">
      <c r="A14" s="4" t="s">
        <v>136</v>
      </c>
      <c r="B14" s="2">
        <v>256</v>
      </c>
    </row>
    <row r="15" spans="1:2" x14ac:dyDescent="0.25">
      <c r="A15" s="4" t="s">
        <v>145</v>
      </c>
      <c r="B15" s="2">
        <v>112</v>
      </c>
    </row>
    <row r="16" spans="1:2" x14ac:dyDescent="0.25">
      <c r="A16" s="4" t="s">
        <v>154</v>
      </c>
      <c r="B16" s="2">
        <v>122</v>
      </c>
    </row>
    <row r="17" spans="1:2" x14ac:dyDescent="0.25">
      <c r="A17" s="4" t="s">
        <v>134</v>
      </c>
      <c r="B17" s="2">
        <v>267</v>
      </c>
    </row>
    <row r="18" spans="1:2" x14ac:dyDescent="0.25">
      <c r="A18" s="4" t="s">
        <v>173</v>
      </c>
      <c r="B18" s="2">
        <v>142</v>
      </c>
    </row>
    <row r="19" spans="1:2" x14ac:dyDescent="0.25">
      <c r="A19" s="4" t="s">
        <v>135</v>
      </c>
      <c r="B19" s="2">
        <v>102</v>
      </c>
    </row>
    <row r="20" spans="1:2" x14ac:dyDescent="0.25">
      <c r="A20" s="4" t="s">
        <v>148</v>
      </c>
      <c r="B20" s="2">
        <v>295</v>
      </c>
    </row>
    <row r="21" spans="1:2" x14ac:dyDescent="0.25">
      <c r="A21" s="4" t="s">
        <v>147</v>
      </c>
      <c r="B21" s="2">
        <v>114</v>
      </c>
    </row>
    <row r="22" spans="1:2" x14ac:dyDescent="0.25">
      <c r="A22" s="4" t="s">
        <v>190</v>
      </c>
      <c r="B22" s="2">
        <v>167</v>
      </c>
    </row>
    <row r="23" spans="1:2" x14ac:dyDescent="0.25">
      <c r="A23" s="4" t="s">
        <v>143</v>
      </c>
      <c r="B23" s="2">
        <v>110</v>
      </c>
    </row>
    <row r="24" spans="1:2" x14ac:dyDescent="0.25">
      <c r="A24" s="4" t="s">
        <v>163</v>
      </c>
      <c r="B24" s="2">
        <v>266</v>
      </c>
    </row>
    <row r="25" spans="1:2" x14ac:dyDescent="0.25">
      <c r="A25" s="4" t="s">
        <v>168</v>
      </c>
      <c r="B25" s="2">
        <v>471</v>
      </c>
    </row>
    <row r="26" spans="1:2" x14ac:dyDescent="0.25">
      <c r="A26" s="4" t="s">
        <v>171</v>
      </c>
      <c r="B26" s="2">
        <v>291</v>
      </c>
    </row>
    <row r="27" spans="1:2" x14ac:dyDescent="0.25">
      <c r="A27" s="4" t="s">
        <v>158</v>
      </c>
      <c r="B27" s="2">
        <v>126</v>
      </c>
    </row>
    <row r="28" spans="1:2" x14ac:dyDescent="0.25">
      <c r="A28" s="4" t="s">
        <v>166</v>
      </c>
      <c r="B28" s="2">
        <v>329</v>
      </c>
    </row>
    <row r="29" spans="1:2" x14ac:dyDescent="0.25">
      <c r="A29" s="4" t="s">
        <v>165</v>
      </c>
      <c r="B29" s="2">
        <v>315</v>
      </c>
    </row>
    <row r="30" spans="1:2" x14ac:dyDescent="0.25">
      <c r="A30" s="4" t="s">
        <v>170</v>
      </c>
      <c r="B30" s="2">
        <v>288</v>
      </c>
    </row>
    <row r="31" spans="1:2" x14ac:dyDescent="0.25">
      <c r="A31" s="4" t="s">
        <v>197</v>
      </c>
      <c r="B31" s="2">
        <v>178</v>
      </c>
    </row>
    <row r="32" spans="1:2" x14ac:dyDescent="0.25">
      <c r="A32" s="4" t="s">
        <v>159</v>
      </c>
      <c r="B32" s="2">
        <v>127</v>
      </c>
    </row>
    <row r="33" spans="1:2" x14ac:dyDescent="0.25">
      <c r="A33" s="4" t="s">
        <v>151</v>
      </c>
      <c r="B33" s="2">
        <v>118</v>
      </c>
    </row>
    <row r="34" spans="1:2" x14ac:dyDescent="0.25">
      <c r="A34" s="4" t="s">
        <v>169</v>
      </c>
      <c r="B34" s="2">
        <v>138</v>
      </c>
    </row>
    <row r="35" spans="1:2" x14ac:dyDescent="0.25">
      <c r="A35" s="4" t="s">
        <v>149</v>
      </c>
      <c r="B35" s="2">
        <v>305</v>
      </c>
    </row>
    <row r="36" spans="1:2" x14ac:dyDescent="0.25">
      <c r="A36" s="4" t="s">
        <v>199</v>
      </c>
      <c r="B36" s="2">
        <v>183</v>
      </c>
    </row>
    <row r="37" spans="1:2" x14ac:dyDescent="0.25">
      <c r="A37" s="4" t="s">
        <v>181</v>
      </c>
      <c r="B37" s="2">
        <v>154</v>
      </c>
    </row>
    <row r="38" spans="1:2" x14ac:dyDescent="0.25">
      <c r="A38" s="4" t="s">
        <v>156</v>
      </c>
      <c r="B38" s="2">
        <v>124</v>
      </c>
    </row>
    <row r="39" spans="1:2" x14ac:dyDescent="0.25">
      <c r="A39" s="4" t="s">
        <v>196</v>
      </c>
      <c r="B39" s="2">
        <v>174</v>
      </c>
    </row>
    <row r="40" spans="1:2" x14ac:dyDescent="0.25">
      <c r="A40" s="4" t="s">
        <v>188</v>
      </c>
      <c r="B40" s="2">
        <v>164</v>
      </c>
    </row>
    <row r="41" spans="1:2" x14ac:dyDescent="0.25">
      <c r="A41" s="4" t="s">
        <v>174</v>
      </c>
      <c r="B41" s="2">
        <v>304</v>
      </c>
    </row>
    <row r="42" spans="1:2" x14ac:dyDescent="0.25">
      <c r="A42" s="4" t="s">
        <v>184</v>
      </c>
      <c r="B42" s="2">
        <v>158</v>
      </c>
    </row>
    <row r="43" spans="1:2" x14ac:dyDescent="0.25">
      <c r="A43" s="4" t="s">
        <v>195</v>
      </c>
      <c r="B43" s="2">
        <v>173</v>
      </c>
    </row>
    <row r="44" spans="1:2" x14ac:dyDescent="0.25">
      <c r="A44" s="4" t="s">
        <v>180</v>
      </c>
      <c r="B44" s="2">
        <v>152</v>
      </c>
    </row>
    <row r="45" spans="1:2" x14ac:dyDescent="0.25">
      <c r="A45" s="4" t="s">
        <v>162</v>
      </c>
      <c r="B45" s="2">
        <v>130</v>
      </c>
    </row>
    <row r="46" spans="1:2" x14ac:dyDescent="0.25">
      <c r="A46" s="4" t="s">
        <v>207</v>
      </c>
      <c r="B46" s="2">
        <v>391</v>
      </c>
    </row>
    <row r="47" spans="1:2" x14ac:dyDescent="0.25">
      <c r="A47" s="4" t="s">
        <v>204</v>
      </c>
      <c r="B47" s="2">
        <v>191</v>
      </c>
    </row>
    <row r="48" spans="1:2" x14ac:dyDescent="0.25">
      <c r="A48" s="4" t="s">
        <v>194</v>
      </c>
      <c r="B48" s="2">
        <v>371</v>
      </c>
    </row>
    <row r="49" spans="1:2" x14ac:dyDescent="0.25">
      <c r="A49" s="4" t="s">
        <v>205</v>
      </c>
      <c r="B49" s="2">
        <v>192</v>
      </c>
    </row>
    <row r="50" spans="1:2" x14ac:dyDescent="0.25">
      <c r="A50" s="4" t="s">
        <v>183</v>
      </c>
      <c r="B50" s="2">
        <v>157</v>
      </c>
    </row>
    <row r="51" spans="1:2" x14ac:dyDescent="0.25">
      <c r="A51" s="4" t="s">
        <v>138</v>
      </c>
      <c r="B51" s="2">
        <v>105</v>
      </c>
    </row>
    <row r="52" spans="1:2" x14ac:dyDescent="0.25">
      <c r="A52" s="4" t="s">
        <v>178</v>
      </c>
      <c r="B52" s="2">
        <v>148</v>
      </c>
    </row>
    <row r="53" spans="1:2" x14ac:dyDescent="0.25">
      <c r="A53" s="4" t="s">
        <v>153</v>
      </c>
      <c r="B53" s="2">
        <v>121</v>
      </c>
    </row>
    <row r="54" spans="1:2" x14ac:dyDescent="0.25">
      <c r="A54" s="4" t="s">
        <v>146</v>
      </c>
      <c r="B54" s="2">
        <v>113</v>
      </c>
    </row>
    <row r="55" spans="1:2" x14ac:dyDescent="0.25">
      <c r="A55" s="4" t="s">
        <v>208</v>
      </c>
      <c r="B55" s="2">
        <v>196</v>
      </c>
    </row>
    <row r="56" spans="1:2" x14ac:dyDescent="0.25">
      <c r="A56" s="4" t="s">
        <v>201</v>
      </c>
      <c r="B56" s="2">
        <v>185</v>
      </c>
    </row>
    <row r="57" spans="1:2" x14ac:dyDescent="0.25">
      <c r="A57" s="4" t="s">
        <v>152</v>
      </c>
      <c r="B57" s="2">
        <v>119</v>
      </c>
    </row>
    <row r="58" spans="1:2" x14ac:dyDescent="0.25">
      <c r="A58" s="4" t="s">
        <v>176</v>
      </c>
      <c r="B58" s="2">
        <v>322</v>
      </c>
    </row>
    <row r="59" spans="1:2" x14ac:dyDescent="0.25">
      <c r="A59" s="4" t="s">
        <v>187</v>
      </c>
      <c r="B59" s="2">
        <v>162</v>
      </c>
    </row>
    <row r="60" spans="1:2" x14ac:dyDescent="0.25">
      <c r="A60" s="4" t="s">
        <v>141</v>
      </c>
      <c r="B60" s="2">
        <v>108</v>
      </c>
    </row>
    <row r="61" spans="1:2" x14ac:dyDescent="0.25">
      <c r="A61" s="4" t="s">
        <v>191</v>
      </c>
      <c r="B61" s="2">
        <v>168</v>
      </c>
    </row>
    <row r="62" spans="1:2" x14ac:dyDescent="0.25">
      <c r="A62" s="4" t="s">
        <v>185</v>
      </c>
      <c r="B62" s="2">
        <v>159</v>
      </c>
    </row>
    <row r="63" spans="1:2" x14ac:dyDescent="0.25">
      <c r="A63" s="4" t="s">
        <v>186</v>
      </c>
      <c r="B63" s="2">
        <v>160</v>
      </c>
    </row>
    <row r="64" spans="1:2" x14ac:dyDescent="0.25">
      <c r="A64" s="4" t="s">
        <v>200</v>
      </c>
      <c r="B64" s="2">
        <v>184</v>
      </c>
    </row>
    <row r="65" spans="1:2" x14ac:dyDescent="0.25">
      <c r="A65" s="4" t="s">
        <v>177</v>
      </c>
      <c r="B65" s="2">
        <v>146</v>
      </c>
    </row>
    <row r="66" spans="1:2" x14ac:dyDescent="0.25">
      <c r="A66" s="4" t="s">
        <v>189</v>
      </c>
      <c r="B66" s="2">
        <v>351</v>
      </c>
    </row>
    <row r="67" spans="1:2" x14ac:dyDescent="0.25">
      <c r="A67" s="4" t="s">
        <v>198</v>
      </c>
      <c r="B67" s="2">
        <v>181</v>
      </c>
    </row>
    <row r="68" spans="1:2" x14ac:dyDescent="0.25">
      <c r="A68" s="4" t="s">
        <v>179</v>
      </c>
      <c r="B68" s="2">
        <v>150</v>
      </c>
    </row>
    <row r="69" spans="1:2" x14ac:dyDescent="0.25">
      <c r="A69" s="4" t="s">
        <v>182</v>
      </c>
      <c r="B69" s="2">
        <v>156</v>
      </c>
    </row>
    <row r="70" spans="1:2" x14ac:dyDescent="0.25">
      <c r="A70" s="4" t="s">
        <v>160</v>
      </c>
      <c r="B70" s="2">
        <v>128</v>
      </c>
    </row>
    <row r="71" spans="1:2" x14ac:dyDescent="0.25">
      <c r="A71" s="4" t="s">
        <v>167</v>
      </c>
      <c r="B71" s="2">
        <v>136</v>
      </c>
    </row>
    <row r="72" spans="1:2" x14ac:dyDescent="0.25">
      <c r="A72" s="4" t="s">
        <v>150</v>
      </c>
      <c r="B72" s="2">
        <v>117</v>
      </c>
    </row>
    <row r="73" spans="1:2" x14ac:dyDescent="0.25">
      <c r="A73" s="4" t="s">
        <v>157</v>
      </c>
      <c r="B73" s="2">
        <v>125</v>
      </c>
    </row>
    <row r="74" spans="1:2" x14ac:dyDescent="0.25">
      <c r="A74" s="4" t="s">
        <v>144</v>
      </c>
      <c r="B74" s="2">
        <v>111</v>
      </c>
    </row>
    <row r="75" spans="1:2" x14ac:dyDescent="0.25">
      <c r="A75" s="4" t="s">
        <v>202</v>
      </c>
      <c r="B75" s="2">
        <v>187</v>
      </c>
    </row>
    <row r="76" spans="1:2" x14ac:dyDescent="0.25">
      <c r="A76" s="4" t="s">
        <v>192</v>
      </c>
      <c r="B76" s="2">
        <v>169</v>
      </c>
    </row>
    <row r="77" spans="1:2" x14ac:dyDescent="0.25">
      <c r="A77" s="4" t="s">
        <v>140</v>
      </c>
      <c r="B77" s="2">
        <v>278</v>
      </c>
    </row>
    <row r="78" spans="1:2" x14ac:dyDescent="0.25">
      <c r="A78" s="4" t="s">
        <v>172</v>
      </c>
      <c r="B78" s="2">
        <v>288</v>
      </c>
    </row>
    <row r="79" spans="1:2" x14ac:dyDescent="0.25">
      <c r="A79" s="4" t="s">
        <v>251</v>
      </c>
      <c r="B79" s="2">
        <v>15050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29150-CCAA-47C6-B02B-8C765EF9E546}">
  <dimension ref="A1:G3"/>
  <sheetViews>
    <sheetView workbookViewId="0">
      <selection activeCell="Y6" sqref="Y6"/>
    </sheetView>
  </sheetViews>
  <sheetFormatPr defaultRowHeight="15" x14ac:dyDescent="0.25"/>
  <cols>
    <col min="1" max="1" width="14.5703125" bestFit="1" customWidth="1"/>
    <col min="2" max="2" width="11.85546875" customWidth="1"/>
    <col min="3" max="3" width="9.7109375" customWidth="1"/>
    <col min="4" max="4" width="9.140625" customWidth="1"/>
    <col min="5" max="5" width="9.28515625" customWidth="1"/>
    <col min="6" max="6" width="8.7109375" customWidth="1"/>
    <col min="7" max="7" width="11.28515625" bestFit="1" customWidth="1"/>
  </cols>
  <sheetData>
    <row r="1" spans="1:7" x14ac:dyDescent="0.25">
      <c r="A1" s="6"/>
      <c r="B1" s="9" t="s">
        <v>353</v>
      </c>
      <c r="C1" s="6"/>
      <c r="D1" s="6"/>
      <c r="E1" s="6"/>
      <c r="F1" s="6"/>
      <c r="G1" s="6"/>
    </row>
    <row r="2" spans="1:7" x14ac:dyDescent="0.25">
      <c r="A2" s="6"/>
      <c r="B2" s="6" t="s">
        <v>241</v>
      </c>
      <c r="C2" s="6" t="s">
        <v>240</v>
      </c>
      <c r="D2" s="6" t="s">
        <v>242</v>
      </c>
      <c r="E2" s="6" t="s">
        <v>243</v>
      </c>
      <c r="F2" s="6" t="s">
        <v>112</v>
      </c>
      <c r="G2" s="6" t="s">
        <v>251</v>
      </c>
    </row>
    <row r="3" spans="1:7" x14ac:dyDescent="0.25">
      <c r="A3" s="6" t="s">
        <v>355</v>
      </c>
      <c r="B3" s="8">
        <v>20</v>
      </c>
      <c r="C3" s="8">
        <v>16</v>
      </c>
      <c r="D3" s="8">
        <v>17</v>
      </c>
      <c r="E3" s="8">
        <v>15</v>
      </c>
      <c r="F3" s="8">
        <v>32</v>
      </c>
      <c r="G3" s="8">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8AD8-E752-489F-8B11-45C609891022}">
  <dimension ref="K1:R2"/>
  <sheetViews>
    <sheetView showGridLines="0" showRowColHeaders="0" tabSelected="1" zoomScale="70" zoomScaleNormal="70" workbookViewId="0">
      <selection activeCell="Y6" sqref="Y6"/>
    </sheetView>
  </sheetViews>
  <sheetFormatPr defaultRowHeight="15" x14ac:dyDescent="0.25"/>
  <sheetData>
    <row r="1" spans="11:18" ht="15" customHeight="1" x14ac:dyDescent="0.25">
      <c r="K1" s="10" t="s">
        <v>358</v>
      </c>
      <c r="L1" s="10"/>
      <c r="M1" s="10"/>
      <c r="N1" s="10"/>
      <c r="O1" s="10"/>
      <c r="P1" s="10"/>
      <c r="Q1" s="10"/>
      <c r="R1" s="10"/>
    </row>
    <row r="2" spans="11:18" ht="15" customHeight="1" x14ac:dyDescent="0.25">
      <c r="K2" s="10"/>
      <c r="L2" s="10"/>
      <c r="M2" s="10"/>
      <c r="N2" s="10"/>
      <c r="O2" s="10"/>
      <c r="P2" s="10"/>
      <c r="Q2" s="10"/>
      <c r="R2" s="10"/>
    </row>
  </sheetData>
  <mergeCells count="1">
    <mergeCell ref="K1:R2"/>
  </mergeCells>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72C46-315A-4D17-B4E6-E2AF9881D63A}">
  <dimension ref="A1:B18"/>
  <sheetViews>
    <sheetView workbookViewId="0">
      <selection activeCell="N8" sqref="N8"/>
    </sheetView>
  </sheetViews>
  <sheetFormatPr defaultRowHeight="15" x14ac:dyDescent="0.25"/>
  <cols>
    <col min="1" max="1" width="13.7109375" bestFit="1" customWidth="1"/>
    <col min="2" max="2" width="12.42578125" bestFit="1" customWidth="1"/>
  </cols>
  <sheetData>
    <row r="1" spans="1:2" x14ac:dyDescent="0.25">
      <c r="A1" s="3" t="s">
        <v>248</v>
      </c>
      <c r="B1" t="s">
        <v>252</v>
      </c>
    </row>
    <row r="2" spans="1:2" x14ac:dyDescent="0.25">
      <c r="A2" s="4" t="s">
        <v>122</v>
      </c>
      <c r="B2" s="2">
        <v>416</v>
      </c>
    </row>
    <row r="3" spans="1:2" x14ac:dyDescent="0.25">
      <c r="A3" s="4" t="s">
        <v>119</v>
      </c>
      <c r="B3" s="2">
        <v>400</v>
      </c>
    </row>
    <row r="4" spans="1:2" x14ac:dyDescent="0.25">
      <c r="A4" s="4" t="s">
        <v>129</v>
      </c>
      <c r="B4" s="2">
        <v>503</v>
      </c>
    </row>
    <row r="5" spans="1:2" x14ac:dyDescent="0.25">
      <c r="A5" s="4" t="s">
        <v>133</v>
      </c>
      <c r="B5" s="2">
        <v>369</v>
      </c>
    </row>
    <row r="6" spans="1:2" x14ac:dyDescent="0.25">
      <c r="A6" s="4" t="s">
        <v>120</v>
      </c>
      <c r="B6" s="2">
        <v>321</v>
      </c>
    </row>
    <row r="7" spans="1:2" x14ac:dyDescent="0.25">
      <c r="A7" s="4" t="s">
        <v>121</v>
      </c>
      <c r="B7" s="2">
        <v>422</v>
      </c>
    </row>
    <row r="8" spans="1:2" x14ac:dyDescent="0.25">
      <c r="A8" s="4" t="s">
        <v>126</v>
      </c>
      <c r="B8" s="2">
        <v>864</v>
      </c>
    </row>
    <row r="9" spans="1:2" x14ac:dyDescent="0.25">
      <c r="A9" s="4" t="s">
        <v>128</v>
      </c>
      <c r="B9" s="2">
        <v>395</v>
      </c>
    </row>
    <row r="10" spans="1:2" x14ac:dyDescent="0.25">
      <c r="A10" s="4" t="s">
        <v>124</v>
      </c>
      <c r="B10" s="2">
        <v>408</v>
      </c>
    </row>
    <row r="11" spans="1:2" x14ac:dyDescent="0.25">
      <c r="A11" s="4" t="s">
        <v>131</v>
      </c>
      <c r="B11" s="2">
        <v>366</v>
      </c>
    </row>
    <row r="12" spans="1:2" x14ac:dyDescent="0.25">
      <c r="A12" s="4" t="s">
        <v>127</v>
      </c>
      <c r="B12" s="2">
        <v>424</v>
      </c>
    </row>
    <row r="13" spans="1:2" x14ac:dyDescent="0.25">
      <c r="A13" s="4" t="s">
        <v>130</v>
      </c>
      <c r="B13" s="2">
        <v>754</v>
      </c>
    </row>
    <row r="14" spans="1:2" x14ac:dyDescent="0.25">
      <c r="A14" s="4" t="s">
        <v>132</v>
      </c>
      <c r="B14" s="2">
        <v>579</v>
      </c>
    </row>
    <row r="15" spans="1:2" x14ac:dyDescent="0.25">
      <c r="A15" s="4" t="s">
        <v>125</v>
      </c>
      <c r="B15" s="2">
        <v>253</v>
      </c>
    </row>
    <row r="16" spans="1:2" x14ac:dyDescent="0.25">
      <c r="A16" s="4" t="s">
        <v>123</v>
      </c>
      <c r="B16" s="2">
        <v>286</v>
      </c>
    </row>
    <row r="17" spans="1:2" x14ac:dyDescent="0.25">
      <c r="A17" s="4" t="s">
        <v>118</v>
      </c>
      <c r="B17" s="2">
        <v>326</v>
      </c>
    </row>
    <row r="18" spans="1:2" x14ac:dyDescent="0.25">
      <c r="A18" s="4" t="s">
        <v>251</v>
      </c>
      <c r="B18" s="2">
        <v>7086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6F76-7715-45E7-BC8C-7A6715443EB1}">
  <dimension ref="A1:D3"/>
  <sheetViews>
    <sheetView workbookViewId="0">
      <selection activeCell="B2" sqref="B2:C3"/>
    </sheetView>
  </sheetViews>
  <sheetFormatPr defaultRowHeight="15" x14ac:dyDescent="0.25"/>
  <cols>
    <col min="1" max="1" width="18.140625" bestFit="1" customWidth="1"/>
    <col min="2" max="2" width="16.28515625" bestFit="1" customWidth="1"/>
    <col min="3" max="3" width="4.85546875" bestFit="1" customWidth="1"/>
    <col min="4" max="4" width="11.28515625" bestFit="1" customWidth="1"/>
    <col min="5" max="5" width="22.140625" bestFit="1" customWidth="1"/>
    <col min="6" max="6" width="23.140625" bestFit="1" customWidth="1"/>
  </cols>
  <sheetData>
    <row r="1" spans="1:4" x14ac:dyDescent="0.25">
      <c r="B1" s="3" t="s">
        <v>353</v>
      </c>
    </row>
    <row r="2" spans="1:4" x14ac:dyDescent="0.25">
      <c r="B2" s="6" t="s">
        <v>249</v>
      </c>
      <c r="C2" s="6" t="s">
        <v>250</v>
      </c>
      <c r="D2" t="s">
        <v>251</v>
      </c>
    </row>
    <row r="3" spans="1:4" x14ac:dyDescent="0.25">
      <c r="A3" t="s">
        <v>354</v>
      </c>
      <c r="B3" s="7">
        <v>0.16</v>
      </c>
      <c r="C3" s="7">
        <v>0.84</v>
      </c>
      <c r="D3" s="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045B-399B-4FA3-8583-1089A2541447}">
  <dimension ref="D1:E33"/>
  <sheetViews>
    <sheetView zoomScale="85" zoomScaleNormal="85" workbookViewId="0">
      <selection activeCell="V10" sqref="V10"/>
    </sheetView>
  </sheetViews>
  <sheetFormatPr defaultRowHeight="15" x14ac:dyDescent="0.25"/>
  <cols>
    <col min="4" max="4" width="13.28515625" bestFit="1" customWidth="1"/>
    <col min="5" max="5" width="21.140625" bestFit="1" customWidth="1"/>
    <col min="6" max="35" width="4.5703125" bestFit="1" customWidth="1"/>
    <col min="36" max="36" width="11.28515625" bestFit="1" customWidth="1"/>
  </cols>
  <sheetData>
    <row r="1" spans="4:5" x14ac:dyDescent="0.25">
      <c r="D1" s="3" t="s">
        <v>248</v>
      </c>
      <c r="E1" t="s">
        <v>356</v>
      </c>
    </row>
    <row r="2" spans="4:5" x14ac:dyDescent="0.25">
      <c r="D2" s="4" t="s">
        <v>239</v>
      </c>
      <c r="E2" s="2">
        <v>1</v>
      </c>
    </row>
    <row r="3" spans="4:5" x14ac:dyDescent="0.25">
      <c r="D3" s="4" t="s">
        <v>222</v>
      </c>
      <c r="E3" s="2">
        <v>2</v>
      </c>
    </row>
    <row r="4" spans="4:5" x14ac:dyDescent="0.25">
      <c r="D4" s="4" t="s">
        <v>227</v>
      </c>
      <c r="E4" s="2">
        <v>1</v>
      </c>
    </row>
    <row r="5" spans="4:5" x14ac:dyDescent="0.25">
      <c r="D5" s="4" t="s">
        <v>228</v>
      </c>
      <c r="E5" s="2">
        <v>1</v>
      </c>
    </row>
    <row r="6" spans="4:5" x14ac:dyDescent="0.25">
      <c r="D6" s="4" t="s">
        <v>220</v>
      </c>
      <c r="E6" s="2">
        <v>5</v>
      </c>
    </row>
    <row r="7" spans="4:5" x14ac:dyDescent="0.25">
      <c r="D7" s="4" t="s">
        <v>235</v>
      </c>
      <c r="E7" s="2">
        <v>2</v>
      </c>
    </row>
    <row r="8" spans="4:5" x14ac:dyDescent="0.25">
      <c r="D8" s="4" t="s">
        <v>216</v>
      </c>
      <c r="E8" s="2">
        <v>4</v>
      </c>
    </row>
    <row r="9" spans="4:5" x14ac:dyDescent="0.25">
      <c r="D9" s="4" t="s">
        <v>231</v>
      </c>
      <c r="E9" s="2">
        <v>3</v>
      </c>
    </row>
    <row r="10" spans="4:5" x14ac:dyDescent="0.25">
      <c r="D10" s="4" t="s">
        <v>214</v>
      </c>
      <c r="E10" s="2">
        <v>3</v>
      </c>
    </row>
    <row r="11" spans="4:5" x14ac:dyDescent="0.25">
      <c r="D11" s="4" t="s">
        <v>226</v>
      </c>
      <c r="E11" s="2">
        <v>4</v>
      </c>
    </row>
    <row r="12" spans="4:5" x14ac:dyDescent="0.25">
      <c r="D12" s="4" t="s">
        <v>238</v>
      </c>
      <c r="E12" s="2">
        <v>3</v>
      </c>
    </row>
    <row r="13" spans="4:5" x14ac:dyDescent="0.25">
      <c r="D13" s="4" t="s">
        <v>236</v>
      </c>
      <c r="E13" s="2">
        <v>2</v>
      </c>
    </row>
    <row r="14" spans="4:5" x14ac:dyDescent="0.25">
      <c r="D14" s="4" t="s">
        <v>215</v>
      </c>
      <c r="E14" s="2">
        <v>4</v>
      </c>
    </row>
    <row r="15" spans="4:5" x14ac:dyDescent="0.25">
      <c r="D15" s="4" t="s">
        <v>212</v>
      </c>
      <c r="E15" s="2">
        <v>3</v>
      </c>
    </row>
    <row r="16" spans="4:5" x14ac:dyDescent="0.25">
      <c r="D16" s="4" t="s">
        <v>219</v>
      </c>
      <c r="E16" s="2">
        <v>4</v>
      </c>
    </row>
    <row r="17" spans="4:5" x14ac:dyDescent="0.25">
      <c r="D17" s="4" t="s">
        <v>232</v>
      </c>
      <c r="E17" s="2">
        <v>3</v>
      </c>
    </row>
    <row r="18" spans="4:5" x14ac:dyDescent="0.25">
      <c r="D18" s="4" t="s">
        <v>218</v>
      </c>
      <c r="E18" s="2">
        <v>7</v>
      </c>
    </row>
    <row r="19" spans="4:5" x14ac:dyDescent="0.25">
      <c r="D19" s="4" t="s">
        <v>210</v>
      </c>
      <c r="E19" s="2">
        <v>1</v>
      </c>
    </row>
    <row r="20" spans="4:5" x14ac:dyDescent="0.25">
      <c r="D20" s="4" t="s">
        <v>221</v>
      </c>
      <c r="E20" s="2">
        <v>3</v>
      </c>
    </row>
    <row r="21" spans="4:5" x14ac:dyDescent="0.25">
      <c r="D21" s="4" t="s">
        <v>229</v>
      </c>
      <c r="E21" s="2">
        <v>3</v>
      </c>
    </row>
    <row r="22" spans="4:5" x14ac:dyDescent="0.25">
      <c r="D22" s="4" t="s">
        <v>237</v>
      </c>
      <c r="E22" s="2">
        <v>3</v>
      </c>
    </row>
    <row r="23" spans="4:5" x14ac:dyDescent="0.25">
      <c r="D23" s="4" t="s">
        <v>230</v>
      </c>
      <c r="E23" s="2">
        <v>4</v>
      </c>
    </row>
    <row r="24" spans="4:5" x14ac:dyDescent="0.25">
      <c r="D24" s="4" t="s">
        <v>234</v>
      </c>
      <c r="E24" s="2">
        <v>4</v>
      </c>
    </row>
    <row r="25" spans="4:5" x14ac:dyDescent="0.25">
      <c r="D25" s="4" t="s">
        <v>225</v>
      </c>
      <c r="E25" s="2">
        <v>3</v>
      </c>
    </row>
    <row r="26" spans="4:5" x14ac:dyDescent="0.25">
      <c r="D26" s="4" t="s">
        <v>209</v>
      </c>
      <c r="E26" s="2">
        <v>6</v>
      </c>
    </row>
    <row r="27" spans="4:5" x14ac:dyDescent="0.25">
      <c r="D27" s="4" t="s">
        <v>223</v>
      </c>
      <c r="E27" s="2">
        <v>5</v>
      </c>
    </row>
    <row r="28" spans="4:5" x14ac:dyDescent="0.25">
      <c r="D28" s="4" t="s">
        <v>211</v>
      </c>
      <c r="E28" s="2">
        <v>4</v>
      </c>
    </row>
    <row r="29" spans="4:5" x14ac:dyDescent="0.25">
      <c r="D29" s="4" t="s">
        <v>217</v>
      </c>
      <c r="E29" s="2">
        <v>7</v>
      </c>
    </row>
    <row r="30" spans="4:5" x14ac:dyDescent="0.25">
      <c r="D30" s="4" t="s">
        <v>224</v>
      </c>
      <c r="E30" s="2">
        <v>2</v>
      </c>
    </row>
    <row r="31" spans="4:5" x14ac:dyDescent="0.25">
      <c r="D31" s="4" t="s">
        <v>233</v>
      </c>
      <c r="E31" s="2">
        <v>1</v>
      </c>
    </row>
    <row r="32" spans="4:5" x14ac:dyDescent="0.25">
      <c r="D32" s="4" t="s">
        <v>213</v>
      </c>
      <c r="E32" s="2">
        <v>2</v>
      </c>
    </row>
    <row r="33" spans="4:5" x14ac:dyDescent="0.25">
      <c r="D33" s="4" t="s">
        <v>251</v>
      </c>
      <c r="E33" s="2">
        <v>100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A3271-B4C4-4C58-8209-8E0B8C69C3CC}">
  <dimension ref="A1:B12"/>
  <sheetViews>
    <sheetView workbookViewId="0">
      <selection activeCell="B25" sqref="B25"/>
    </sheetView>
  </sheetViews>
  <sheetFormatPr defaultRowHeight="15" x14ac:dyDescent="0.25"/>
  <cols>
    <col min="1" max="1" width="13.140625" bestFit="1" customWidth="1"/>
    <col min="2" max="2" width="12.42578125" bestFit="1" customWidth="1"/>
  </cols>
  <sheetData>
    <row r="1" spans="1:2" x14ac:dyDescent="0.25">
      <c r="A1" s="3" t="s">
        <v>248</v>
      </c>
      <c r="B1" t="s">
        <v>252</v>
      </c>
    </row>
    <row r="2" spans="1:2" x14ac:dyDescent="0.25">
      <c r="A2" s="4" t="s">
        <v>26</v>
      </c>
      <c r="B2" s="2">
        <v>95</v>
      </c>
    </row>
    <row r="3" spans="1:2" x14ac:dyDescent="0.25">
      <c r="A3" s="4" t="s">
        <v>28</v>
      </c>
      <c r="B3" s="2">
        <v>96</v>
      </c>
    </row>
    <row r="4" spans="1:2" x14ac:dyDescent="0.25">
      <c r="A4" s="4" t="s">
        <v>32</v>
      </c>
      <c r="B4" s="2">
        <v>95</v>
      </c>
    </row>
    <row r="5" spans="1:2" x14ac:dyDescent="0.25">
      <c r="A5" s="4" t="s">
        <v>44</v>
      </c>
      <c r="B5" s="2">
        <v>96</v>
      </c>
    </row>
    <row r="6" spans="1:2" x14ac:dyDescent="0.25">
      <c r="A6" s="4" t="s">
        <v>45</v>
      </c>
      <c r="B6" s="2">
        <v>99</v>
      </c>
    </row>
    <row r="7" spans="1:2" x14ac:dyDescent="0.25">
      <c r="A7" s="4" t="s">
        <v>47</v>
      </c>
      <c r="B7" s="2">
        <v>97</v>
      </c>
    </row>
    <row r="8" spans="1:2" x14ac:dyDescent="0.25">
      <c r="A8" s="4" t="s">
        <v>58</v>
      </c>
      <c r="B8" s="2">
        <v>100</v>
      </c>
    </row>
    <row r="9" spans="1:2" x14ac:dyDescent="0.25">
      <c r="A9" s="4" t="s">
        <v>74</v>
      </c>
      <c r="B9" s="2">
        <v>95</v>
      </c>
    </row>
    <row r="10" spans="1:2" x14ac:dyDescent="0.25">
      <c r="A10" s="4" t="s">
        <v>76</v>
      </c>
      <c r="B10" s="2">
        <v>100</v>
      </c>
    </row>
    <row r="11" spans="1:2" x14ac:dyDescent="0.25">
      <c r="A11" s="4" t="s">
        <v>96</v>
      </c>
      <c r="B11" s="2">
        <v>98</v>
      </c>
    </row>
    <row r="12" spans="1:2" x14ac:dyDescent="0.25">
      <c r="A12" s="4" t="s">
        <v>251</v>
      </c>
      <c r="B12" s="2">
        <v>971</v>
      </c>
    </row>
  </sheetData>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Attendance statistics for each </vt:lpstr>
      <vt:lpstr>Student statistics by date</vt:lpstr>
      <vt:lpstr>Grade</vt:lpstr>
      <vt:lpstr>Dashboard</vt:lpstr>
      <vt:lpstr>Average grades for each subject</vt:lpstr>
      <vt:lpstr>Success and failure rate</vt:lpstr>
      <vt:lpstr>Attendece</vt:lpstr>
      <vt:lpstr>Top 10 Students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Esraa Elzaghal</cp:lastModifiedBy>
  <dcterms:created xsi:type="dcterms:W3CDTF">2025-10-01T03:57:07Z</dcterms:created>
  <dcterms:modified xsi:type="dcterms:W3CDTF">2025-10-04T07:55:25Z</dcterms:modified>
</cp:coreProperties>
</file>